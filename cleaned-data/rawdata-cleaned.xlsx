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1 Data Analytics\ExcelLeaning\excel-sales-dashboard\cleaned-data\"/>
    </mc:Choice>
  </mc:AlternateContent>
  <xr:revisionPtr revIDLastSave="0" documentId="13_ncr:1_{8F9C1CF3-94F4-419D-88A6-9C491E89648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sheet" sheetId="5" r:id="rId2"/>
    <sheet name="PivotTable" sheetId="3" r:id="rId3"/>
    <sheet name="Dashboard" sheetId="2" r:id="rId4"/>
  </sheets>
  <definedNames>
    <definedName name="_xlnm._FilterDatabase" localSheetId="0" hidden="1">bike_buyers!$A$1:$M$1001</definedName>
    <definedName name="_xlnm._FilterDatabase" localSheetId="1" hidden="1">Workingsheet!$A$1:$N$1001</definedName>
    <definedName name="Slicer_Education">#N/A</definedName>
    <definedName name="Slicer_Marital_Status">#N/A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<sst xmlns="http://schemas.openxmlformats.org/spreadsheetml/2006/main" count="16274" uniqueCount="51">
  <si>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</si>
  <si>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</si>
  <si>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</si>
  <si>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</si>
  <si>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</si>
  <si>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</si>
  <si>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</si>
  <si>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</si>
  <si>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</si>
  <si>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</si>
  <si>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</si>
  <si>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</si>
  <si>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</si>
  <si>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</si>
  <si>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</si>
  <si>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</si>
  <si>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</si>
  <si>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</si>
  <si>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</si>
  <si>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</si>
  <si>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</si>
  <si>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</si>
  <si>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</si>
  <si>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</si>
  <si>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</si>
  <si>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</si>
  <si>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</si>
  <si>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</si>
  <si>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</si>
  <si>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</si>
  <si>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</si>
  <si>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</si>
  <si>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</si>
  <si>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</si>
  <si>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</si>
  <si>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</si>
  <si>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</si>
  <si>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</si>
  <si>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</si>
  <si>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</si>
  <si>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</si>
  <si>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</si>
  <si>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</si>
  <si>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Column Labels</t>
  </si>
  <si>
    <t>Average of Income</t>
  </si>
  <si>
    <t>Count of Purchased Bike</t>
  </si>
  <si>
    <t>More than 10 miles</t>
  </si>
  <si>
    <t>Adolescent</t>
  </si>
  <si>
    <t>Middle Aged</t>
  </si>
  <si>
    <t>Old Aged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</si>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</sst>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5"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Arial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5" fontId="0" fillId="0" borderId="0" xfId="42" applyNumberFormat="1" applyFont="1"/>
    <xf numFmtId="0"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[rawdata-cleaned.xlsx]PivotTable!PivotTable3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t>
            </a:r>
            <a:r>
              <a:rPr lang="en-IN" baseline="0"/>
              <a:t>g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PivotTable!$C$5:$C$6</c:f>
              <c:strCache>
                <c:ptCount val="1"/>
                <c:pt idx="0">
                  <c:v>No</c:v>
                </c:pt>
              </c:strCache>
            </c:strRef>
          </c:tx>
          <c:spPr>
            <a:solidFill>
              <a:schemeClr val="accent1"/>
            </a:solidFill>
            <a:ln>
              <a:noFill/>
            </a:ln>
            <a:effectLst/>
          </c:spPr>
          <c:invertIfNegative val="0"/>
          <c:cat>
            <c:strRef>
              <c:f>PivotTable!$B$7:$B$9</c:f>
              <c:strCache>
                <c:ptCount val="2"/>
                <c:pt idx="0">
                  <c:v>Female</c:v>
                </c:pt>
                <c:pt idx="1">
                  <c:v>Male</c:v>
                </c:pt>
              </c:strCache>
            </c:strRef>
          </c:cat>
          <c:val>
            <c:numRef>
              <c:f>PivotTable!$C$7:$C$9</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3A27-4A65-A413-19F07F403A33}"/>
            </c:ext>
          </c:extLst>
        </c:ser>
        <c:ser>
          <c:idx val="1"/>
          <c:order val="1"/>
          <c:tx>
            <c:strRef>
              <c:f>PivotTable!$D$5:$D$6</c:f>
              <c:strCache>
                <c:ptCount val="1"/>
                <c:pt idx="0">
                  <c:v>Yes</c:v>
                </c:pt>
              </c:strCache>
            </c:strRef>
          </c:tx>
          <c:spPr>
            <a:solidFill>
              <a:schemeClr val="accent2"/>
            </a:solidFill>
            <a:ln>
              <a:noFill/>
            </a:ln>
            <a:effectLst/>
          </c:spPr>
          <c:invertIfNegative val="0"/>
          <c:cat>
            <c:strRef>
              <c:f>PivotTable!$B$7:$B$9</c:f>
              <c:strCache>
                <c:ptCount val="2"/>
                <c:pt idx="0">
                  <c:v>Female</c:v>
                </c:pt>
                <c:pt idx="1">
                  <c:v>Male</c:v>
                </c:pt>
              </c:strCache>
            </c:strRef>
          </c:cat>
          <c:val>
            <c:numRef>
              <c:f>PivotTable!$D$7:$D$9</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3A27-4A65-A413-19F07F403A33}"/>
            </c:ext>
          </c:extLst>
        </c:ser>
        <c:dLbls>
          <c:showLegendKey val="0"/>
          <c:showVal val="0"/>
          <c:showCatName val="0"/>
          <c:showSerName val="0"/>
          <c:showPercent val="0"/>
          <c:showBubbleSize val="0"/>
        </c:dLbls>
        <c:gapWidth val="219"/>
        <c:overlap val="-27"/>
        <c:axId val="1409827871"/>
        <c:axId val="1409828831"/>
      </c:barChart>
      <c:catAx>
        <c:axId val="1409827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28831"/>
        <c:crosses val="autoZero"/>
        <c:auto val="1"/>
        <c:lblAlgn val="ctr"/>
        <c:lblOffset val="100"/>
        <c:noMultiLvlLbl val="0"/>
      </c:catAx>
      <c:valAx>
        <c:axId val="1409828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2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[rawdata-cleaned.xlsx]PivotTable!PivotTable4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PivotTable!$B$22:$B$27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937-436A-B8ED-BCCF4ABB607A}"/>
            </c:ext>
          </c:extLst>
        </c:ser>
        <c:ser>
          <c:idx val="1"/>
          <c:order val="1"/>
          <c:tx>
            <c:strRef>
              <c:f>PivotTable!$D$20:$D$21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PivotTable!$B$22:$B$27</c:f>
              <c:strCache>
                <c:ptCount val="5"/>
                <c:pt idx="0">
                  <c:v>0-1 Miles</c:v>
                </c:pt>
                <c:pt idx="1">
                  <c:v>1-2 Miles</c:v>
                </c:pt>
                <c:pt idx="2">
                  <c:v>2-5 Miles</c:v>
                </c:pt>
                <c:pt idx="3">
                  <c:v>5-10 Miles</c:v>
                </c:pt>
                <c:pt idx="4">
                  <c:v>More than 10 miles</c:v>
                </c:pt>
              </c:strCache>
            </c:strRef>
          </c:cat>
          <c:val>
            <c:numRef>
              <c:f>PivotTable!$D$22:$D$27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937-436A-B8ED-BCCF4ABB607A}"/>
            </c:ext>
          </c:extLst>
        </c:ser>
        <c:dLbls>
          <c:showLegendKey val="0"/>
          <c:showVal val="0"/>
          <c:showCatName val="0"/>
          <c:showSerName val="0"/>
          <c:showPercent val="0"/>
          <c:showBubbleSize val="0"/>
        </c:dLbls>
        <c:marker val="1"/>
        <c:smooth val="0"/>
        <c:axId val="1409846111"/>
        <c:axId val="1409845151"/>
      </c:lineChart>
      <c:catAx>
        <c:axId val="1409846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45151"/>
        <c:crosses val="autoZero"/>
        <c:auto val="1"/>
        <c:lblAlgn val="ctr"/>
        <c:lblOffset val="100"/>
        <c:noMultiLvlLbl val="0"/>
      </c:catAx>
      <c:valAx>
        <c:axId val="140984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4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[rawdata-cleaned.xlsx]PivotTable!PivotTable5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based on Age Gap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PivotTable!$C$38:$C$39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PivotTable!$B$40:$B$43</c:f>
              <c:strCache>
                <c:ptCount val="3"/>
                <c:pt idx="0">
                  <c:v>Adolescent</c:v>
                </c:pt>
                <c:pt idx="1">
                  <c:v>Middle Aged</c:v>
                </c:pt>
                <c:pt idx="2">
                  <c:v>Old Aged</c:v>
                </c:pt>
              </c:strCache>
            </c:strRef>
          </c:cat>
          <c:val>
            <c:numRef>
              <c:f>PivotTable!$C$40:$C$43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0C4-447F-8C94-E1A4FD6316AD}"/>
            </c:ext>
          </c:extLst>
        </c:ser>
        <c:ser>
          <c:idx val="1"/>
          <c:order val="1"/>
          <c:tx>
            <c:strRef>
              <c:f>PivotTable!$D$38:$D$39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PivotTable!$B$40:$B$43</c:f>
              <c:strCache>
                <c:ptCount val="3"/>
                <c:pt idx="0">
                  <c:v>Adolescent</c:v>
                </c:pt>
                <c:pt idx="1">
                  <c:v>Middle Aged</c:v>
                </c:pt>
                <c:pt idx="2">
                  <c:v>Old Aged</c:v>
                </c:pt>
              </c:strCache>
            </c:strRef>
          </c:cat>
          <c:val>
            <c:numRef>
              <c:f>PivotTable!$D$40:$D$43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0C4-447F-8C94-E1A4FD6316AD}"/>
            </c:ext>
          </c:extLst>
        </c:ser>
        <c:dLbls>
          <c:showLegendKey val="0"/>
          <c:showVal val="0"/>
          <c:showCatName val="0"/>
          <c:showSerName val="0"/>
          <c:showPercent val="0"/>
          <c:showBubbleSize val="0"/>
        </c:dLbls>
        <c:marker val="1"/>
        <c:smooth val="0"/>
        <c:axId val="1409769791"/>
        <c:axId val="1409770271"/>
      </c:lineChart>
      <c:catAx>
        <c:axId val="140976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70271"/>
        <c:crosses val="autoZero"/>
        <c:auto val="1"/>
        <c:lblAlgn val="ctr"/>
        <c:lblOffset val="100"/>
        <c:noMultiLvlLbl val="0"/>
      </c:catAx>
      <c:valAx>
        <c:axId val="1409770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[rawdata-cleaned.xlsx]PivotTable!PivotTable7</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Sales Based of 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PivotTable!$C$64:$C$65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PivotTable!$B$66:$B$119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PivotTable!$C$66:$C$119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ADA-4C77-8C57-4CD56874DB54}"/>
            </c:ext>
          </c:extLst>
        </c:ser>
        <c:ser>
          <c:idx val="1"/>
          <c:order val="1"/>
          <c:tx>
            <c:strRef>
              <c:f>PivotTable!$D$64:$D$65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PivotTable!$B$66:$B$119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PivotTable!$D$66:$D$119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ADA-4C77-8C57-4CD56874DB5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9758271"/>
        <c:axId val="1409760191"/>
      </c:lineChart>
      <c:catAx>
        <c:axId val="140975827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9760191"/>
        <c:crosses val="autoZero"/>
        <c:auto val="1"/>
        <c:lblAlgn val="ctr"/>
        <c:lblOffset val="100"/>
        <c:noMultiLvlLbl val="0"/>
      </c:catAx>
      <c:valAx>
        <c:axId val="140976019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No of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975827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[rawdata-cleaned.xlsx]PivotTable!PivotTable3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a:t>
            </a:r>
            <a:r>
              <a:rPr lang="en-IN" baseline="0"/>
              <a:t>g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PivotTable!$C$5:$C$6</c:f>
              <c:strCache>
                <c:ptCount val="1"/>
                <c:pt idx="0">
                  <c:v>No</c:v>
                </c:pt>
              </c:strCache>
            </c:strRef>
          </c:tx>
          <c:spPr>
            <a:solidFill>
              <a:schemeClr val="accent1"/>
            </a:solidFill>
            <a:ln>
              <a:noFill/>
            </a:ln>
            <a:effectLst/>
          </c:spPr>
          <c:invertIfNegative val="0"/>
          <c:cat>
            <c:strRef>
              <c:f>PivotTable!$B$7:$B$9</c:f>
              <c:strCache>
                <c:ptCount val="2"/>
                <c:pt idx="0">
                  <c:v>Female</c:v>
                </c:pt>
                <c:pt idx="1">
                  <c:v>Male</c:v>
                </c:pt>
              </c:strCache>
            </c:strRef>
          </c:cat>
          <c:val>
            <c:numRef>
              <c:f>PivotTable!$C$7:$C$9</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34A8-47A3-AEDF-659EBFC8E293}"/>
            </c:ext>
          </c:extLst>
        </c:ser>
        <c:ser>
          <c:idx val="1"/>
          <c:order val="1"/>
          <c:tx>
            <c:strRef>
              <c:f>PivotTable!$D$5:$D$6</c:f>
              <c:strCache>
                <c:ptCount val="1"/>
                <c:pt idx="0">
                  <c:v>Yes</c:v>
                </c:pt>
              </c:strCache>
            </c:strRef>
          </c:tx>
          <c:spPr>
            <a:solidFill>
              <a:schemeClr val="accent2"/>
            </a:solidFill>
            <a:ln>
              <a:noFill/>
            </a:ln>
            <a:effectLst/>
          </c:spPr>
          <c:invertIfNegative val="0"/>
          <c:cat>
            <c:strRef>
              <c:f>PivotTable!$B$7:$B$9</c:f>
              <c:strCache>
                <c:ptCount val="2"/>
                <c:pt idx="0">
                  <c:v>Female</c:v>
                </c:pt>
                <c:pt idx="1">
                  <c:v>Male</c:v>
                </c:pt>
              </c:strCache>
            </c:strRef>
          </c:cat>
          <c:val>
            <c:numRef>
              <c:f>PivotTable!$D$7:$D$9</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34A8-47A3-AEDF-659EBFC8E293}"/>
            </c:ext>
          </c:extLst>
        </c:ser>
        <c:dLbls>
          <c:dLblPos val="outEnd"/>
          <c:showLegendKey val="0"/>
          <c:showVal val="0"/>
          <c:showCatName val="0"/>
          <c:showSerName val="0"/>
          <c:showPercent val="0"/>
          <c:showBubbleSize val="0"/>
        </c:dLbls>
        <c:gapWidth val="219"/>
        <c:overlap val="-27"/>
        <c:axId val="1409827871"/>
        <c:axId val="1409828831"/>
      </c:barChart>
      <c:catAx>
        <c:axId val="140982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28831"/>
        <c:crosses val="autoZero"/>
        <c:auto val="1"/>
        <c:lblAlgn val="ctr"/>
        <c:lblOffset val="100"/>
        <c:noMultiLvlLbl val="0"/>
      </c:catAx>
      <c:valAx>
        <c:axId val="1409828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27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[rawdata-cleaned.xlsx]PivotTable!PivotTable4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 based on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PivotTable!$C$20:$C$21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PivotTable!$B$22:$B$27</c:f>
              <c:strCache>
                <c:ptCount val="5"/>
                <c:pt idx="0">
                  <c:v>0-1 Miles</c:v>
                </c:pt>
                <c:pt idx="1">
                  <c:v>1-2 Miles</c:v>
                </c:pt>
                <c:pt idx="2">
                  <c:v>2-5 Miles</c:v>
                </c:pt>
                <c:pt idx="3">
                  <c:v>5-10 Miles</c:v>
                </c:pt>
                <c:pt idx="4">
                  <c:v>More than 10 miles</c:v>
                </c:pt>
              </c:strCache>
            </c:strRef>
          </c:cat>
          <c:val>
            <c:numRef>
              <c:f>PivotTable!$C$22:$C$27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FA8-43B5-8AE1-98722CAD0BEC}"/>
            </c:ext>
          </c:extLst>
        </c:ser>
        <c:ser>
          <c:idx val="1"/>
          <c:order val="1"/>
          <c:tx>
            <c:strRef>
              <c:f>PivotTable!$D$20:$D$21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PivotTable!$B$22:$B$27</c:f>
              <c:strCache>
                <c:ptCount val="5"/>
                <c:pt idx="0">
                  <c:v>0-1 Miles</c:v>
                </c:pt>
                <c:pt idx="1">
                  <c:v>1-2 Miles</c:v>
                </c:pt>
                <c:pt idx="2">
                  <c:v>2-5 Miles</c:v>
                </c:pt>
                <c:pt idx="3">
                  <c:v>5-10 Miles</c:v>
                </c:pt>
                <c:pt idx="4">
                  <c:v>More than 10 miles</c:v>
                </c:pt>
              </c:strCache>
            </c:strRef>
          </c:cat>
          <c:val>
            <c:numRef>
              <c:f>PivotTable!$D$22:$D$27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FA8-43B5-8AE1-98722CAD0BEC}"/>
            </c:ext>
          </c:extLst>
        </c:ser>
        <c:dLbls>
          <c:showLegendKey val="0"/>
          <c:showVal val="0"/>
          <c:showCatName val="0"/>
          <c:showSerName val="0"/>
          <c:showPercent val="0"/>
          <c:showBubbleSize val="0"/>
        </c:dLbls>
        <c:marker val="1"/>
        <c:smooth val="0"/>
        <c:axId val="1409846111"/>
        <c:axId val="1409845151"/>
      </c:lineChart>
      <c:catAx>
        <c:axId val="14098461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45151"/>
        <c:crosses val="autoZero"/>
        <c:auto val="1"/>
        <c:lblAlgn val="ctr"/>
        <c:lblOffset val="100"/>
        <c:noMultiLvlLbl val="0"/>
      </c:catAx>
      <c:valAx>
        <c:axId val="140984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84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[rawdata-cleaned.xlsx]PivotTable!PivotTable5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based on Age Gap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PivotTable!$C$38:$C$39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PivotTable!$B$40:$B$43</c:f>
              <c:strCache>
                <c:ptCount val="3"/>
                <c:pt idx="0">
                  <c:v>Adolescent</c:v>
                </c:pt>
                <c:pt idx="1">
                  <c:v>Middle Aged</c:v>
                </c:pt>
                <c:pt idx="2">
                  <c:v>Old Aged</c:v>
                </c:pt>
              </c:strCache>
            </c:strRef>
          </c:cat>
          <c:val>
            <c:numRef>
              <c:f>PivotTable!$C$40:$C$43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3DE-4B2F-AE0B-52764AFC16F5}"/>
            </c:ext>
          </c:extLst>
        </c:ser>
        <c:ser>
          <c:idx val="1"/>
          <c:order val="1"/>
          <c:tx>
            <c:strRef>
              <c:f>PivotTable!$D$38:$D$39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PivotTable!$B$40:$B$43</c:f>
              <c:strCache>
                <c:ptCount val="3"/>
                <c:pt idx="0">
                  <c:v>Adolescent</c:v>
                </c:pt>
                <c:pt idx="1">
                  <c:v>Middle Aged</c:v>
                </c:pt>
                <c:pt idx="2">
                  <c:v>Old Aged</c:v>
                </c:pt>
              </c:strCache>
            </c:strRef>
          </c:cat>
          <c:val>
            <c:numRef>
              <c:f>PivotTable!$D$40:$D$43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3DE-4B2F-AE0B-52764AFC16F5}"/>
            </c:ext>
          </c:extLst>
        </c:ser>
        <c:dLbls>
          <c:showLegendKey val="0"/>
          <c:showVal val="0"/>
          <c:showCatName val="0"/>
          <c:showSerName val="0"/>
          <c:showPercent val="0"/>
          <c:showBubbleSize val="0"/>
        </c:dLbls>
        <c:marker val="1"/>
        <c:smooth val="0"/>
        <c:axId val="1409769791"/>
        <c:axId val="1409770271"/>
      </c:lineChart>
      <c:catAx>
        <c:axId val="140976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Group</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70271"/>
        <c:crosses val="autoZero"/>
        <c:auto val="1"/>
        <c:lblAlgn val="ctr"/>
        <c:lblOffset val="100"/>
        <c:noMultiLvlLbl val="0"/>
      </c:catAx>
      <c:valAx>
        <c:axId val="1409770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7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0</xdr:rowOff>
    </xdr:from>
    <xdr:to>
      <xdr:col>15</xdr:col>
      <xdr:colOff>7620</xdr:colOff>
      <xdr:row>18</xdr:row>
      <xdr:rowOff>0</xdr:rowOff>
    </xdr:to>
    <xdr:graphicFrame macro="">
      <xdr:nvGraphicFramePr>
        <xdr:cNvPr id="2" name="Chart 1">
          <a:extLst>
            <a:ext uri="{FF2B5EF4-FFF2-40B4-BE49-F238E27FC236}">
              <a16:creationId xmlns:a16="http://schemas.microsoft.com/office/drawing/2014/main" id="{0E02E853-F969-5755-6289-65D184634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19</xdr:row>
      <xdr:rowOff>3810</xdr:rowOff>
    </xdr:from>
    <xdr:to>
      <xdr:col>15</xdr:col>
      <xdr:colOff>30480</xdr:colOff>
      <xdr:row>34</xdr:row>
      <xdr:rowOff>175260</xdr:rowOff>
    </xdr:to>
    <xdr:graphicFrame macro="">
      <xdr:nvGraphicFramePr>
        <xdr:cNvPr id="4" name="Chart 3">
          <a:extLst>
            <a:ext uri="{FF2B5EF4-FFF2-40B4-BE49-F238E27FC236}">
              <a16:creationId xmlns:a16="http://schemas.microsoft.com/office/drawing/2014/main" id="{5B7A2229-D971-01F9-894A-7E5B97B03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3771</xdr:colOff>
      <xdr:row>36</xdr:row>
      <xdr:rowOff>167489</xdr:rowOff>
    </xdr:from>
    <xdr:to>
      <xdr:col>15</xdr:col>
      <xdr:colOff>22633</xdr:colOff>
      <xdr:row>59</xdr:row>
      <xdr:rowOff>7544</xdr:rowOff>
    </xdr:to>
    <xdr:graphicFrame macro="">
      <xdr:nvGraphicFramePr>
        <xdr:cNvPr id="5" name="Chart 4">
          <a:extLst>
            <a:ext uri="{FF2B5EF4-FFF2-40B4-BE49-F238E27FC236}">
              <a16:creationId xmlns:a16="http://schemas.microsoft.com/office/drawing/2014/main" id="{84721A39-84EF-B619-D5D0-DEDA205F4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10297</xdr:colOff>
      <xdr:row>63</xdr:row>
      <xdr:rowOff>8237</xdr:rowOff>
    </xdr:from>
    <xdr:to>
      <xdr:col>15</xdr:col>
      <xdr:colOff>42334</xdr:colOff>
      <xdr:row>94</xdr:row>
      <xdr:rowOff>20594</xdr:rowOff>
    </xdr:to>
    <xdr:graphicFrame macro="">
      <xdr:nvGraphicFramePr>
        <xdr:cNvPr id="6" name="Chart 5">
          <a:extLst>
            <a:ext uri="{FF2B5EF4-FFF2-40B4-BE49-F238E27FC236}">
              <a16:creationId xmlns:a16="http://schemas.microsoft.com/office/drawing/2014/main" id="{9B0FD3EB-1047-6060-6638-BD45F967D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161365</xdr:colOff>
      <xdr:row>7</xdr:row>
      <xdr:rowOff>42710</xdr:rowOff>
    </xdr:from>
    <xdr:to>
      <xdr:col>10</xdr:col>
      <xdr:colOff>8965</xdr:colOff>
      <xdr:row>19</xdr:row>
      <xdr:rowOff>19850</xdr:rowOff>
    </xdr:to>
    <xdr:graphicFrame macro="">
      <xdr:nvGraphicFramePr>
        <xdr:cNvPr id="2" name="Chart 1">
          <a:extLst>
            <a:ext uri="{FF2B5EF4-FFF2-40B4-BE49-F238E27FC236}">
              <a16:creationId xmlns:a16="http://schemas.microsoft.com/office/drawing/2014/main" id="{4A94BD98-CC0B-4D40-916C-3C9EB013C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161365</xdr:colOff>
      <xdr:row>19</xdr:row>
      <xdr:rowOff>62305</xdr:rowOff>
    </xdr:from>
    <xdr:to>
      <xdr:col>18</xdr:col>
      <xdr:colOff>17929</xdr:colOff>
      <xdr:row>33</xdr:row>
      <xdr:rowOff>85165</xdr:rowOff>
    </xdr:to>
    <xdr:graphicFrame macro="">
      <xdr:nvGraphicFramePr>
        <xdr:cNvPr id="3" name="Chart 2">
          <a:extLst>
            <a:ext uri="{FF2B5EF4-FFF2-40B4-BE49-F238E27FC236}">
              <a16:creationId xmlns:a16="http://schemas.microsoft.com/office/drawing/2014/main" id="{935F356E-30B5-4123-9E76-214962CE9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71717</xdr:colOff>
      <xdr:row>7</xdr:row>
      <xdr:rowOff>48410</xdr:rowOff>
    </xdr:from>
    <xdr:to>
      <xdr:col>18</xdr:col>
      <xdr:colOff>17928</xdr:colOff>
      <xdr:row>19</xdr:row>
      <xdr:rowOff>25550</xdr:rowOff>
    </xdr:to>
    <xdr:graphicFrame macro="">
      <xdr:nvGraphicFramePr>
        <xdr:cNvPr id="4" name="Chart 3">
          <a:extLst>
            <a:ext uri="{FF2B5EF4-FFF2-40B4-BE49-F238E27FC236}">
              <a16:creationId xmlns:a16="http://schemas.microsoft.com/office/drawing/2014/main" id="{53A1ECF3-8ED6-4C7A-8848-F39925883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97971</xdr:colOff>
      <xdr:row>7</xdr:row>
      <xdr:rowOff>48986</xdr:rowOff>
    </xdr:from>
    <xdr:to>
      <xdr:col>2</xdr:col>
      <xdr:colOff>573741</xdr:colOff>
      <xdr:row>12</xdr:row>
      <xdr:rowOff>43543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7FA6A67-68FB-C4D0-6861-3FC7D53F9D2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7971" y="1344386"/>
              <a:ext cx="1694970" cy="919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86957</xdr:colOff>
      <xdr:row>20</xdr:row>
      <xdr:rowOff>102647</xdr:rowOff>
    </xdr:from>
    <xdr:to>
      <xdr:col>2</xdr:col>
      <xdr:colOff>591671</xdr:colOff>
      <xdr:row>33</xdr:row>
      <xdr:rowOff>62753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B9EC25C-01C1-3560-33EB-4B792E0DF2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6957" y="3803790"/>
              <a:ext cx="1723914" cy="2365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82924</xdr:colOff>
      <xdr:row>13</xdr:row>
      <xdr:rowOff>1</xdr:rowOff>
    </xdr:from>
    <xdr:to>
      <xdr:col>2</xdr:col>
      <xdr:colOff>582706</xdr:colOff>
      <xdr:row>19</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EAA82E0-F325-42B2-9D0D-EFA2C63690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2924" y="2405744"/>
              <a:ext cx="1718982" cy="1262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KRAJAWASTHI" refreshedDate="46166.373236342595" createdVersion="8" refreshedVersion="8" minRefreshableVersion="3" recordCount="1000" xr:uid="{A6CFF314-C2DA-49E5-BE84-BE161305B589}">
  <cacheSource type="worksheet">
    <worksheetSource ref="A1:N1001" sheet="Working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Age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38544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8BC4F-4911-44A6-8414-9F510BD1B168}"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4:E11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B8E85-FE78-4439-BC1F-5E8F2536100B}"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8:E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91AD3A-3204-4FDD-84FC-A42AAE8D0B03}"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0:E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51BC02-2A9F-4F01-88BF-3C2EAC6476CC}"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E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E5D0567-2003-424F-BEBF-0C5CC8764408}" sourceName="Marital Status">
  <pivotTables>
    <pivotTable tabId="3" name="PivotTable3"/>
    <pivotTable tabId="3" name="PivotTable4"/>
    <pivotTable tabId="3" name="PivotTable5"/>
    <pivotTable tabId="3" name="PivotTable7"/>
  </pivotTables>
  <data>
    <tabular pivotCacheId="15385447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850510E-5DD3-494C-A735-5B4BF89ECA12}" sourceName="Education">
  <pivotTables>
    <pivotTable tabId="3" name="PivotTable3"/>
    <pivotTable tabId="3" name="PivotTable4"/>
    <pivotTable tabId="3" name="PivotTable5"/>
    <pivotTable tabId="3" name="PivotTable7"/>
  </pivotTables>
  <data>
    <tabular pivotCacheId="15385447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D2842D-323A-432C-9ED7-BE31D6FE6FF5}" sourceName="Region">
  <pivotTables>
    <pivotTable tabId="3" name="PivotTable3"/>
    <pivotTable tabId="3" name="PivotTable4"/>
    <pivotTable tabId="3" name="PivotTable5"/>
    <pivotTable tabId="3" name="PivotTable7"/>
  </pivotTables>
  <data>
    <tabular pivotCacheId="15385447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39F4B30-D119-44FA-90F8-B32D6A63DEA3}" cache="Slicer_Marital_Status" caption="Marital Status" rowHeight="234950"/>
  <slicer name="Education" xr10:uid="{65CB56BF-9D6F-4921-9124-952428D70B34}" cache="Slicer_Education" caption="Education" rowHeight="234950"/>
  <slicer name="Region" xr10:uid="{7F38A77F-0677-4EB8-AD62-5CEB2181499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17" sqref="F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96F33-D1BB-4B8B-B06B-D5EA810CDA73}">
  <dimension ref="A1:N1001"/>
  <sheetViews>
    <sheetView topLeftCell="D4" zoomScale="85" zoomScaleNormal="85" workbookViewId="0">
      <selection activeCell="M33" sqref="M33"/>
    </sheetView>
  </sheetViews>
  <sheetFormatPr defaultColWidth="20.88671875" defaultRowHeight="14.4" x14ac:dyDescent="0.3"/>
  <cols>
    <col min="4" max="4" width="26.21875" style="6" customWidth="1"/>
  </cols>
  <sheetData>
    <row r="1" spans="1:14" x14ac:dyDescent="0.3">
      <c r="A1" t="s">
        <v>0</v>
      </c>
      <c r="B1" t="s">
        <v>1</v>
      </c>
      <c r="C1" t="s">
        <v>2</v>
      </c>
      <c r="D1" s="6" t="s">
        <v>3</v>
      </c>
      <c r="E1" t="s">
        <v>4</v>
      </c>
      <c r="F1" t="s">
        <v>5</v>
      </c>
      <c r="G1" t="s">
        <v>6</v>
      </c>
      <c r="H1" t="s">
        <v>7</v>
      </c>
      <c r="I1" t="s">
        <v>8</v>
      </c>
      <c r="J1" t="s">
        <v>9</v>
      </c>
      <c r="K1" t="s">
        <v>10</v>
      </c>
      <c r="L1" t="s">
        <v>11</v>
      </c>
      <c r="M1" t="s">
        <v>40</v>
      </c>
      <c r="N1" t="s">
        <v>12</v>
      </c>
    </row>
    <row r="2" spans="1:14" x14ac:dyDescent="0.3">
      <c r="A2">
        <v>12496</v>
      </c>
      <c r="B2" t="s">
        <v>36</v>
      </c>
      <c r="C2" t="s">
        <v>38</v>
      </c>
      <c r="D2" s="6">
        <v>40000</v>
      </c>
      <c r="E2">
        <v>1</v>
      </c>
      <c r="F2" t="s">
        <v>13</v>
      </c>
      <c r="G2" t="s">
        <v>14</v>
      </c>
      <c r="H2" t="s">
        <v>15</v>
      </c>
      <c r="I2">
        <v>0</v>
      </c>
      <c r="J2" t="s">
        <v>16</v>
      </c>
      <c r="K2" t="s">
        <v>17</v>
      </c>
      <c r="L2">
        <v>42</v>
      </c>
      <c r="M2" t="str">
        <f>IF(L2 &gt; 54, "Old Aged", IF($L2 &gt;= 31,"Middle Aged", "Adolescent"))</f>
        <v>Middle Aged</v>
      </c>
      <c r="N2" t="s">
        <v>18</v>
      </c>
    </row>
    <row r="3" spans="1:14" x14ac:dyDescent="0.3">
      <c r="A3">
        <v>24107</v>
      </c>
      <c r="B3" t="s">
        <v>36</v>
      </c>
      <c r="C3" t="s">
        <v>39</v>
      </c>
      <c r="D3" s="6">
        <v>30000</v>
      </c>
      <c r="E3">
        <v>3</v>
      </c>
      <c r="F3" t="s">
        <v>19</v>
      </c>
      <c r="G3" t="s">
        <v>20</v>
      </c>
      <c r="H3" t="s">
        <v>15</v>
      </c>
      <c r="I3">
        <v>1</v>
      </c>
      <c r="J3" t="s">
        <v>16</v>
      </c>
      <c r="K3" t="s">
        <v>17</v>
      </c>
      <c r="L3">
        <v>43</v>
      </c>
      <c r="M3" t="str">
        <f t="shared" ref="M3:M66" si="0">IF(L3 &gt; 54, "Old Aged", IF($L3 &gt;= 31,"Middle Aged", "Adolescent"))</f>
        <v>Middle Aged</v>
      </c>
      <c r="N3" t="s">
        <v>18</v>
      </c>
    </row>
    <row r="4" spans="1:14" x14ac:dyDescent="0.3">
      <c r="A4">
        <v>14177</v>
      </c>
      <c r="B4" t="s">
        <v>36</v>
      </c>
      <c r="C4" t="s">
        <v>39</v>
      </c>
      <c r="D4" s="6">
        <v>80000</v>
      </c>
      <c r="E4">
        <v>5</v>
      </c>
      <c r="F4" t="s">
        <v>19</v>
      </c>
      <c r="G4" t="s">
        <v>21</v>
      </c>
      <c r="H4" t="s">
        <v>18</v>
      </c>
      <c r="I4">
        <v>2</v>
      </c>
      <c r="J4" t="s">
        <v>22</v>
      </c>
      <c r="K4" t="s">
        <v>17</v>
      </c>
      <c r="L4">
        <v>60</v>
      </c>
      <c r="M4" t="str">
        <f t="shared" si="0"/>
        <v>Old Aged</v>
      </c>
      <c r="N4" t="s">
        <v>18</v>
      </c>
    </row>
    <row r="5" spans="1:14" x14ac:dyDescent="0.3">
      <c r="A5">
        <v>24381</v>
      </c>
      <c r="B5" t="s">
        <v>37</v>
      </c>
      <c r="C5" t="s">
        <v>39</v>
      </c>
      <c r="D5" s="6">
        <v>70000</v>
      </c>
      <c r="E5">
        <v>0</v>
      </c>
      <c r="F5" t="s">
        <v>13</v>
      </c>
      <c r="G5" t="s">
        <v>21</v>
      </c>
      <c r="H5" t="s">
        <v>15</v>
      </c>
      <c r="I5">
        <v>1</v>
      </c>
      <c r="J5" t="s">
        <v>23</v>
      </c>
      <c r="K5" t="s">
        <v>24</v>
      </c>
      <c r="L5">
        <v>41</v>
      </c>
      <c r="M5" t="str">
        <f t="shared" si="0"/>
        <v>Middle Aged</v>
      </c>
      <c r="N5" t="s">
        <v>15</v>
      </c>
    </row>
    <row r="6" spans="1:14" x14ac:dyDescent="0.3">
      <c r="A6">
        <v>25597</v>
      </c>
      <c r="B6" t="s">
        <v>37</v>
      </c>
      <c r="C6" t="s">
        <v>39</v>
      </c>
      <c r="D6" s="6">
        <v>30000</v>
      </c>
      <c r="E6">
        <v>0</v>
      </c>
      <c r="F6" t="s">
        <v>13</v>
      </c>
      <c r="G6" t="s">
        <v>20</v>
      </c>
      <c r="H6" t="s">
        <v>18</v>
      </c>
      <c r="I6">
        <v>0</v>
      </c>
      <c r="J6" t="s">
        <v>16</v>
      </c>
      <c r="K6" t="s">
        <v>17</v>
      </c>
      <c r="L6">
        <v>36</v>
      </c>
      <c r="M6" t="str">
        <f t="shared" si="0"/>
        <v>Middle Aged</v>
      </c>
      <c r="N6" t="s">
        <v>15</v>
      </c>
    </row>
    <row r="7" spans="1:14" x14ac:dyDescent="0.3">
      <c r="A7">
        <v>13507</v>
      </c>
      <c r="B7" t="s">
        <v>36</v>
      </c>
      <c r="C7" t="s">
        <v>38</v>
      </c>
      <c r="D7" s="6">
        <v>10000</v>
      </c>
      <c r="E7">
        <v>2</v>
      </c>
      <c r="F7" t="s">
        <v>19</v>
      </c>
      <c r="G7" t="s">
        <v>25</v>
      </c>
      <c r="H7" t="s">
        <v>15</v>
      </c>
      <c r="I7">
        <v>0</v>
      </c>
      <c r="J7" t="s">
        <v>26</v>
      </c>
      <c r="K7" t="s">
        <v>17</v>
      </c>
      <c r="L7">
        <v>50</v>
      </c>
      <c r="M7" t="str">
        <f t="shared" si="0"/>
        <v>Middle Aged</v>
      </c>
      <c r="N7" t="s">
        <v>18</v>
      </c>
    </row>
    <row r="8" spans="1:14" x14ac:dyDescent="0.3">
      <c r="A8">
        <v>27974</v>
      </c>
      <c r="B8" t="s">
        <v>37</v>
      </c>
      <c r="C8" t="s">
        <v>39</v>
      </c>
      <c r="D8" s="6">
        <v>160000</v>
      </c>
      <c r="E8">
        <v>2</v>
      </c>
      <c r="F8" t="s">
        <v>27</v>
      </c>
      <c r="G8" t="s">
        <v>28</v>
      </c>
      <c r="H8" t="s">
        <v>15</v>
      </c>
      <c r="I8">
        <v>4</v>
      </c>
      <c r="J8" t="s">
        <v>16</v>
      </c>
      <c r="K8" t="s">
        <v>24</v>
      </c>
      <c r="L8">
        <v>33</v>
      </c>
      <c r="M8" t="str">
        <f t="shared" si="0"/>
        <v>Middle Aged</v>
      </c>
      <c r="N8" t="s">
        <v>15</v>
      </c>
    </row>
    <row r="9" spans="1:14" x14ac:dyDescent="0.3">
      <c r="A9">
        <v>19364</v>
      </c>
      <c r="B9" t="s">
        <v>36</v>
      </c>
      <c r="C9" t="s">
        <v>39</v>
      </c>
      <c r="D9" s="6">
        <v>40000</v>
      </c>
      <c r="E9">
        <v>1</v>
      </c>
      <c r="F9" t="s">
        <v>13</v>
      </c>
      <c r="G9" t="s">
        <v>14</v>
      </c>
      <c r="H9" t="s">
        <v>15</v>
      </c>
      <c r="I9">
        <v>0</v>
      </c>
      <c r="J9" t="s">
        <v>16</v>
      </c>
      <c r="K9" t="s">
        <v>17</v>
      </c>
      <c r="L9">
        <v>43</v>
      </c>
      <c r="M9" t="str">
        <f t="shared" si="0"/>
        <v>Middle Aged</v>
      </c>
      <c r="N9" t="s">
        <v>15</v>
      </c>
    </row>
    <row r="10" spans="1:14" x14ac:dyDescent="0.3">
      <c r="A10">
        <v>22155</v>
      </c>
      <c r="B10" t="s">
        <v>36</v>
      </c>
      <c r="C10" t="s">
        <v>39</v>
      </c>
      <c r="D10" s="6">
        <v>20000</v>
      </c>
      <c r="E10">
        <v>2</v>
      </c>
      <c r="F10" t="s">
        <v>29</v>
      </c>
      <c r="G10" t="s">
        <v>20</v>
      </c>
      <c r="H10" t="s">
        <v>15</v>
      </c>
      <c r="I10">
        <v>2</v>
      </c>
      <c r="J10" t="s">
        <v>23</v>
      </c>
      <c r="K10" t="s">
        <v>24</v>
      </c>
      <c r="L10">
        <v>58</v>
      </c>
      <c r="M10" t="str">
        <f t="shared" si="0"/>
        <v>Old Aged</v>
      </c>
      <c r="N10" t="s">
        <v>18</v>
      </c>
    </row>
    <row r="11" spans="1:14" x14ac:dyDescent="0.3">
      <c r="A11">
        <v>19280</v>
      </c>
      <c r="B11" t="s">
        <v>36</v>
      </c>
      <c r="C11" t="s">
        <v>39</v>
      </c>
      <c r="D11" s="6">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38</v>
      </c>
      <c r="D12" s="6">
        <v>30000</v>
      </c>
      <c r="E12">
        <v>3</v>
      </c>
      <c r="F12" t="s">
        <v>27</v>
      </c>
      <c r="G12" t="s">
        <v>14</v>
      </c>
      <c r="H12" t="s">
        <v>18</v>
      </c>
      <c r="I12">
        <v>2</v>
      </c>
      <c r="J12" t="s">
        <v>26</v>
      </c>
      <c r="K12" t="s">
        <v>24</v>
      </c>
      <c r="L12">
        <v>54</v>
      </c>
      <c r="M12" t="str">
        <f t="shared" si="0"/>
        <v>Middle Aged</v>
      </c>
      <c r="N12" t="s">
        <v>15</v>
      </c>
    </row>
    <row r="13" spans="1:14" x14ac:dyDescent="0.3">
      <c r="A13">
        <v>12697</v>
      </c>
      <c r="B13" t="s">
        <v>37</v>
      </c>
      <c r="C13" t="s">
        <v>38</v>
      </c>
      <c r="D13" s="6">
        <v>90000</v>
      </c>
      <c r="E13">
        <v>0</v>
      </c>
      <c r="F13" t="s">
        <v>13</v>
      </c>
      <c r="G13" t="s">
        <v>21</v>
      </c>
      <c r="H13" t="s">
        <v>18</v>
      </c>
      <c r="I13">
        <v>4</v>
      </c>
      <c r="J13" t="s">
        <v>46</v>
      </c>
      <c r="K13" t="s">
        <v>24</v>
      </c>
      <c r="L13">
        <v>36</v>
      </c>
      <c r="M13" t="str">
        <f t="shared" si="0"/>
        <v>Middle Aged</v>
      </c>
      <c r="N13" t="s">
        <v>18</v>
      </c>
    </row>
    <row r="14" spans="1:14" x14ac:dyDescent="0.3">
      <c r="A14">
        <v>11434</v>
      </c>
      <c r="B14" t="s">
        <v>36</v>
      </c>
      <c r="C14" t="s">
        <v>39</v>
      </c>
      <c r="D14" s="6">
        <v>170000</v>
      </c>
      <c r="E14">
        <v>5</v>
      </c>
      <c r="F14" t="s">
        <v>19</v>
      </c>
      <c r="G14" t="s">
        <v>21</v>
      </c>
      <c r="H14" t="s">
        <v>15</v>
      </c>
      <c r="I14">
        <v>0</v>
      </c>
      <c r="J14" t="s">
        <v>16</v>
      </c>
      <c r="K14" t="s">
        <v>17</v>
      </c>
      <c r="L14">
        <v>55</v>
      </c>
      <c r="M14" t="str">
        <f t="shared" si="0"/>
        <v>Old Aged</v>
      </c>
      <c r="N14" t="s">
        <v>18</v>
      </c>
    </row>
    <row r="15" spans="1:14" x14ac:dyDescent="0.3">
      <c r="A15">
        <v>25323</v>
      </c>
      <c r="B15" t="s">
        <v>36</v>
      </c>
      <c r="C15" t="s">
        <v>39</v>
      </c>
      <c r="D15" s="6">
        <v>40000</v>
      </c>
      <c r="E15">
        <v>2</v>
      </c>
      <c r="F15" t="s">
        <v>19</v>
      </c>
      <c r="G15" t="s">
        <v>20</v>
      </c>
      <c r="H15" t="s">
        <v>15</v>
      </c>
      <c r="I15">
        <v>1</v>
      </c>
      <c r="J15" t="s">
        <v>26</v>
      </c>
      <c r="K15" t="s">
        <v>17</v>
      </c>
      <c r="L15">
        <v>35</v>
      </c>
      <c r="M15" t="str">
        <f t="shared" si="0"/>
        <v>Middle Aged</v>
      </c>
      <c r="N15" t="s">
        <v>15</v>
      </c>
    </row>
    <row r="16" spans="1:14" x14ac:dyDescent="0.3">
      <c r="A16">
        <v>23542</v>
      </c>
      <c r="B16" t="s">
        <v>37</v>
      </c>
      <c r="C16" t="s">
        <v>39</v>
      </c>
      <c r="D16" s="6">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6">
        <v>10000</v>
      </c>
      <c r="E17">
        <v>2</v>
      </c>
      <c r="F17" t="s">
        <v>27</v>
      </c>
      <c r="G17" t="s">
        <v>25</v>
      </c>
      <c r="H17" t="s">
        <v>15</v>
      </c>
      <c r="I17">
        <v>1</v>
      </c>
      <c r="J17" t="s">
        <v>16</v>
      </c>
      <c r="K17" t="s">
        <v>17</v>
      </c>
      <c r="L17">
        <v>38</v>
      </c>
      <c r="M17" t="str">
        <f t="shared" si="0"/>
        <v>Middle Aged</v>
      </c>
      <c r="N17" t="s">
        <v>15</v>
      </c>
    </row>
    <row r="18" spans="1:14" x14ac:dyDescent="0.3">
      <c r="A18">
        <v>23316</v>
      </c>
      <c r="B18" t="s">
        <v>37</v>
      </c>
      <c r="C18" t="s">
        <v>39</v>
      </c>
      <c r="D18" s="6">
        <v>30000</v>
      </c>
      <c r="E18">
        <v>3</v>
      </c>
      <c r="F18" t="s">
        <v>19</v>
      </c>
      <c r="G18" t="s">
        <v>20</v>
      </c>
      <c r="H18" t="s">
        <v>18</v>
      </c>
      <c r="I18">
        <v>2</v>
      </c>
      <c r="J18" t="s">
        <v>26</v>
      </c>
      <c r="K18" t="s">
        <v>24</v>
      </c>
      <c r="L18">
        <v>59</v>
      </c>
      <c r="M18" t="str">
        <f t="shared" si="0"/>
        <v>Old Aged</v>
      </c>
      <c r="N18" t="s">
        <v>15</v>
      </c>
    </row>
    <row r="19" spans="1:14" x14ac:dyDescent="0.3">
      <c r="A19">
        <v>12610</v>
      </c>
      <c r="B19" t="s">
        <v>36</v>
      </c>
      <c r="C19" t="s">
        <v>38</v>
      </c>
      <c r="D19" s="6">
        <v>30000</v>
      </c>
      <c r="E19">
        <v>1</v>
      </c>
      <c r="F19" t="s">
        <v>13</v>
      </c>
      <c r="G19" t="s">
        <v>20</v>
      </c>
      <c r="H19" t="s">
        <v>15</v>
      </c>
      <c r="I19">
        <v>0</v>
      </c>
      <c r="J19" t="s">
        <v>16</v>
      </c>
      <c r="K19" t="s">
        <v>17</v>
      </c>
      <c r="L19">
        <v>47</v>
      </c>
      <c r="M19" t="str">
        <f t="shared" si="0"/>
        <v>Middle Aged</v>
      </c>
      <c r="N19" t="s">
        <v>18</v>
      </c>
    </row>
    <row r="20" spans="1:14" x14ac:dyDescent="0.3">
      <c r="A20">
        <v>27183</v>
      </c>
      <c r="B20" t="s">
        <v>37</v>
      </c>
      <c r="C20" t="s">
        <v>39</v>
      </c>
      <c r="D20" s="6">
        <v>40000</v>
      </c>
      <c r="E20">
        <v>2</v>
      </c>
      <c r="F20" t="s">
        <v>19</v>
      </c>
      <c r="G20" t="s">
        <v>20</v>
      </c>
      <c r="H20" t="s">
        <v>15</v>
      </c>
      <c r="I20">
        <v>1</v>
      </c>
      <c r="J20" t="s">
        <v>26</v>
      </c>
      <c r="K20" t="s">
        <v>17</v>
      </c>
      <c r="L20">
        <v>35</v>
      </c>
      <c r="M20" t="str">
        <f t="shared" si="0"/>
        <v>Middle Aged</v>
      </c>
      <c r="N20" t="s">
        <v>15</v>
      </c>
    </row>
    <row r="21" spans="1:14" x14ac:dyDescent="0.3">
      <c r="A21">
        <v>25940</v>
      </c>
      <c r="B21" t="s">
        <v>37</v>
      </c>
      <c r="C21" t="s">
        <v>39</v>
      </c>
      <c r="D21" s="6">
        <v>20000</v>
      </c>
      <c r="E21">
        <v>2</v>
      </c>
      <c r="F21" t="s">
        <v>29</v>
      </c>
      <c r="G21" t="s">
        <v>20</v>
      </c>
      <c r="H21" t="s">
        <v>15</v>
      </c>
      <c r="I21">
        <v>2</v>
      </c>
      <c r="J21" t="s">
        <v>23</v>
      </c>
      <c r="K21" t="s">
        <v>24</v>
      </c>
      <c r="L21">
        <v>55</v>
      </c>
      <c r="M21" t="str">
        <f t="shared" si="0"/>
        <v>Old Aged</v>
      </c>
      <c r="N21" t="s">
        <v>15</v>
      </c>
    </row>
    <row r="22" spans="1:14" x14ac:dyDescent="0.3">
      <c r="A22">
        <v>25598</v>
      </c>
      <c r="B22" t="s">
        <v>36</v>
      </c>
      <c r="C22" t="s">
        <v>38</v>
      </c>
      <c r="D22" s="6">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6">
        <v>80000</v>
      </c>
      <c r="E23">
        <v>0</v>
      </c>
      <c r="F23" t="s">
        <v>13</v>
      </c>
      <c r="G23" t="s">
        <v>21</v>
      </c>
      <c r="H23" t="s">
        <v>15</v>
      </c>
      <c r="I23">
        <v>4</v>
      </c>
      <c r="J23" t="s">
        <v>46</v>
      </c>
      <c r="K23" t="s">
        <v>24</v>
      </c>
      <c r="L23">
        <v>35</v>
      </c>
      <c r="M23" t="str">
        <f t="shared" si="0"/>
        <v>Middle Aged</v>
      </c>
      <c r="N23" t="s">
        <v>18</v>
      </c>
    </row>
    <row r="24" spans="1:14" x14ac:dyDescent="0.3">
      <c r="A24">
        <v>19193</v>
      </c>
      <c r="B24" t="s">
        <v>37</v>
      </c>
      <c r="C24" t="s">
        <v>39</v>
      </c>
      <c r="D24" s="6">
        <v>40000</v>
      </c>
      <c r="E24">
        <v>2</v>
      </c>
      <c r="F24" t="s">
        <v>19</v>
      </c>
      <c r="G24" t="s">
        <v>20</v>
      </c>
      <c r="H24" t="s">
        <v>15</v>
      </c>
      <c r="I24">
        <v>0</v>
      </c>
      <c r="J24" t="s">
        <v>26</v>
      </c>
      <c r="K24" t="s">
        <v>17</v>
      </c>
      <c r="L24">
        <v>35</v>
      </c>
      <c r="M24" t="str">
        <f t="shared" si="0"/>
        <v>Middle Aged</v>
      </c>
      <c r="N24" t="s">
        <v>15</v>
      </c>
    </row>
    <row r="25" spans="1:14" x14ac:dyDescent="0.3">
      <c r="A25">
        <v>26412</v>
      </c>
      <c r="B25" t="s">
        <v>36</v>
      </c>
      <c r="C25" t="s">
        <v>38</v>
      </c>
      <c r="D25" s="6">
        <v>80000</v>
      </c>
      <c r="E25">
        <v>5</v>
      </c>
      <c r="F25" t="s">
        <v>27</v>
      </c>
      <c r="G25" t="s">
        <v>28</v>
      </c>
      <c r="H25" t="s">
        <v>18</v>
      </c>
      <c r="I25">
        <v>3</v>
      </c>
      <c r="J25" t="s">
        <v>23</v>
      </c>
      <c r="K25" t="s">
        <v>17</v>
      </c>
      <c r="L25">
        <v>56</v>
      </c>
      <c r="M25" t="str">
        <f t="shared" si="0"/>
        <v>Old Aged</v>
      </c>
      <c r="N25" t="s">
        <v>18</v>
      </c>
    </row>
    <row r="26" spans="1:14" x14ac:dyDescent="0.3">
      <c r="A26">
        <v>27184</v>
      </c>
      <c r="B26" t="s">
        <v>37</v>
      </c>
      <c r="C26" t="s">
        <v>39</v>
      </c>
      <c r="D26" s="6">
        <v>40000</v>
      </c>
      <c r="E26">
        <v>2</v>
      </c>
      <c r="F26" t="s">
        <v>19</v>
      </c>
      <c r="G26" t="s">
        <v>20</v>
      </c>
      <c r="H26" t="s">
        <v>18</v>
      </c>
      <c r="I26">
        <v>1</v>
      </c>
      <c r="J26" t="s">
        <v>16</v>
      </c>
      <c r="K26" t="s">
        <v>17</v>
      </c>
      <c r="L26">
        <v>34</v>
      </c>
      <c r="M26" t="str">
        <f t="shared" si="0"/>
        <v>Middle Aged</v>
      </c>
      <c r="N26" t="s">
        <v>18</v>
      </c>
    </row>
    <row r="27" spans="1:14" x14ac:dyDescent="0.3">
      <c r="A27">
        <v>12590</v>
      </c>
      <c r="B27" t="s">
        <v>37</v>
      </c>
      <c r="C27" t="s">
        <v>39</v>
      </c>
      <c r="D27" s="6">
        <v>30000</v>
      </c>
      <c r="E27">
        <v>1</v>
      </c>
      <c r="F27" t="s">
        <v>13</v>
      </c>
      <c r="G27" t="s">
        <v>20</v>
      </c>
      <c r="H27" t="s">
        <v>15</v>
      </c>
      <c r="I27">
        <v>0</v>
      </c>
      <c r="J27" t="s">
        <v>16</v>
      </c>
      <c r="K27" t="s">
        <v>17</v>
      </c>
      <c r="L27">
        <v>63</v>
      </c>
      <c r="M27" t="str">
        <f t="shared" si="0"/>
        <v>Old Aged</v>
      </c>
      <c r="N27" t="s">
        <v>18</v>
      </c>
    </row>
    <row r="28" spans="1:14" x14ac:dyDescent="0.3">
      <c r="A28">
        <v>17841</v>
      </c>
      <c r="B28" t="s">
        <v>37</v>
      </c>
      <c r="C28" t="s">
        <v>39</v>
      </c>
      <c r="D28" s="6">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6">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39</v>
      </c>
      <c r="D30" s="6">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6">
        <v>20000</v>
      </c>
      <c r="E31">
        <v>0</v>
      </c>
      <c r="F31" t="s">
        <v>29</v>
      </c>
      <c r="G31" t="s">
        <v>25</v>
      </c>
      <c r="H31" t="s">
        <v>18</v>
      </c>
      <c r="I31">
        <v>2</v>
      </c>
      <c r="J31" t="s">
        <v>16</v>
      </c>
      <c r="K31" t="s">
        <v>17</v>
      </c>
      <c r="L31">
        <v>32</v>
      </c>
      <c r="M31" t="str">
        <f t="shared" si="0"/>
        <v>Middle Aged</v>
      </c>
      <c r="N31" t="s">
        <v>15</v>
      </c>
    </row>
    <row r="32" spans="1:14" x14ac:dyDescent="0.3">
      <c r="A32">
        <v>19273</v>
      </c>
      <c r="B32" t="s">
        <v>36</v>
      </c>
      <c r="C32" t="s">
        <v>38</v>
      </c>
      <c r="D32" s="6">
        <v>20000</v>
      </c>
      <c r="E32">
        <v>2</v>
      </c>
      <c r="F32" t="s">
        <v>19</v>
      </c>
      <c r="G32" t="s">
        <v>25</v>
      </c>
      <c r="H32" t="s">
        <v>15</v>
      </c>
      <c r="I32">
        <v>0</v>
      </c>
      <c r="J32" t="s">
        <v>16</v>
      </c>
      <c r="K32" t="s">
        <v>17</v>
      </c>
      <c r="L32">
        <v>63</v>
      </c>
      <c r="M32" t="str">
        <f t="shared" si="0"/>
        <v>Old Aged</v>
      </c>
      <c r="N32" t="s">
        <v>18</v>
      </c>
    </row>
    <row r="33" spans="1:14" x14ac:dyDescent="0.3">
      <c r="A33">
        <v>22400</v>
      </c>
      <c r="B33" t="s">
        <v>36</v>
      </c>
      <c r="C33" t="s">
        <v>39</v>
      </c>
      <c r="D33" s="6">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6">
        <v>20000</v>
      </c>
      <c r="E34">
        <v>0</v>
      </c>
      <c r="F34" t="s">
        <v>27</v>
      </c>
      <c r="G34" t="s">
        <v>25</v>
      </c>
      <c r="H34" t="s">
        <v>18</v>
      </c>
      <c r="I34">
        <v>1</v>
      </c>
      <c r="J34" t="s">
        <v>23</v>
      </c>
      <c r="K34" t="s">
        <v>17</v>
      </c>
      <c r="L34">
        <v>31</v>
      </c>
      <c r="M34" t="str">
        <f t="shared" si="0"/>
        <v>Middle Aged</v>
      </c>
      <c r="N34" t="s">
        <v>18</v>
      </c>
    </row>
    <row r="35" spans="1:14" x14ac:dyDescent="0.3">
      <c r="A35">
        <v>18484</v>
      </c>
      <c r="B35" t="s">
        <v>37</v>
      </c>
      <c r="C35" t="s">
        <v>39</v>
      </c>
      <c r="D35" s="6">
        <v>80000</v>
      </c>
      <c r="E35">
        <v>2</v>
      </c>
      <c r="F35" t="s">
        <v>27</v>
      </c>
      <c r="G35" t="s">
        <v>14</v>
      </c>
      <c r="H35" t="s">
        <v>18</v>
      </c>
      <c r="I35">
        <v>2</v>
      </c>
      <c r="J35" t="s">
        <v>26</v>
      </c>
      <c r="K35" t="s">
        <v>24</v>
      </c>
      <c r="L35">
        <v>50</v>
      </c>
      <c r="M35" t="str">
        <f t="shared" si="0"/>
        <v>Middle Aged</v>
      </c>
      <c r="N35" t="s">
        <v>15</v>
      </c>
    </row>
    <row r="36" spans="1:14" x14ac:dyDescent="0.3">
      <c r="A36">
        <v>12291</v>
      </c>
      <c r="B36" t="s">
        <v>37</v>
      </c>
      <c r="C36" t="s">
        <v>39</v>
      </c>
      <c r="D36" s="6">
        <v>90000</v>
      </c>
      <c r="E36">
        <v>5</v>
      </c>
      <c r="F36" t="s">
        <v>19</v>
      </c>
      <c r="G36" t="s">
        <v>21</v>
      </c>
      <c r="H36" t="s">
        <v>18</v>
      </c>
      <c r="I36">
        <v>2</v>
      </c>
      <c r="J36" t="s">
        <v>22</v>
      </c>
      <c r="K36" t="s">
        <v>17</v>
      </c>
      <c r="L36">
        <v>62</v>
      </c>
      <c r="M36" t="str">
        <f t="shared" si="0"/>
        <v>Old Aged</v>
      </c>
      <c r="N36" t="s">
        <v>15</v>
      </c>
    </row>
    <row r="37" spans="1:14" x14ac:dyDescent="0.3">
      <c r="A37">
        <v>28380</v>
      </c>
      <c r="B37" t="s">
        <v>37</v>
      </c>
      <c r="C37" t="s">
        <v>38</v>
      </c>
      <c r="D37" s="6">
        <v>10000</v>
      </c>
      <c r="E37">
        <v>5</v>
      </c>
      <c r="F37" t="s">
        <v>29</v>
      </c>
      <c r="G37" t="s">
        <v>25</v>
      </c>
      <c r="H37" t="s">
        <v>18</v>
      </c>
      <c r="I37">
        <v>2</v>
      </c>
      <c r="J37" t="s">
        <v>16</v>
      </c>
      <c r="K37" t="s">
        <v>17</v>
      </c>
      <c r="L37">
        <v>41</v>
      </c>
      <c r="M37" t="str">
        <f t="shared" si="0"/>
        <v>Middle Aged</v>
      </c>
      <c r="N37" t="s">
        <v>18</v>
      </c>
    </row>
    <row r="38" spans="1:14" x14ac:dyDescent="0.3">
      <c r="A38">
        <v>17891</v>
      </c>
      <c r="B38" t="s">
        <v>36</v>
      </c>
      <c r="C38" t="s">
        <v>38</v>
      </c>
      <c r="D38" s="6">
        <v>10000</v>
      </c>
      <c r="E38">
        <v>2</v>
      </c>
      <c r="F38" t="s">
        <v>19</v>
      </c>
      <c r="G38" t="s">
        <v>25</v>
      </c>
      <c r="H38" t="s">
        <v>15</v>
      </c>
      <c r="I38">
        <v>1</v>
      </c>
      <c r="J38" t="s">
        <v>16</v>
      </c>
      <c r="K38" t="s">
        <v>17</v>
      </c>
      <c r="L38">
        <v>50</v>
      </c>
      <c r="M38" t="str">
        <f t="shared" si="0"/>
        <v>Middle Aged</v>
      </c>
      <c r="N38" t="s">
        <v>15</v>
      </c>
    </row>
    <row r="39" spans="1:14" x14ac:dyDescent="0.3">
      <c r="A39">
        <v>27832</v>
      </c>
      <c r="B39" t="s">
        <v>37</v>
      </c>
      <c r="C39" t="s">
        <v>38</v>
      </c>
      <c r="D39" s="6">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6">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6">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6">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6">
        <v>40000</v>
      </c>
      <c r="E43">
        <v>2</v>
      </c>
      <c r="F43" t="s">
        <v>13</v>
      </c>
      <c r="G43" t="s">
        <v>28</v>
      </c>
      <c r="H43" t="s">
        <v>15</v>
      </c>
      <c r="I43">
        <v>2</v>
      </c>
      <c r="J43" t="s">
        <v>23</v>
      </c>
      <c r="K43" t="s">
        <v>24</v>
      </c>
      <c r="L43">
        <v>65</v>
      </c>
      <c r="M43" t="str">
        <f t="shared" si="0"/>
        <v>Old Aged</v>
      </c>
      <c r="N43" t="s">
        <v>15</v>
      </c>
    </row>
    <row r="44" spans="1:14" x14ac:dyDescent="0.3">
      <c r="A44">
        <v>17703</v>
      </c>
      <c r="B44" t="s">
        <v>36</v>
      </c>
      <c r="C44" t="s">
        <v>38</v>
      </c>
      <c r="D44" s="6">
        <v>10000</v>
      </c>
      <c r="E44">
        <v>1</v>
      </c>
      <c r="F44" t="s">
        <v>31</v>
      </c>
      <c r="G44" t="s">
        <v>25</v>
      </c>
      <c r="H44" t="s">
        <v>15</v>
      </c>
      <c r="I44">
        <v>0</v>
      </c>
      <c r="J44" t="s">
        <v>16</v>
      </c>
      <c r="K44" t="s">
        <v>17</v>
      </c>
      <c r="L44">
        <v>40</v>
      </c>
      <c r="M44" t="str">
        <f t="shared" si="0"/>
        <v>Middle Aged</v>
      </c>
      <c r="N44" t="s">
        <v>18</v>
      </c>
    </row>
    <row r="45" spans="1:14" x14ac:dyDescent="0.3">
      <c r="A45">
        <v>17185</v>
      </c>
      <c r="B45" t="s">
        <v>36</v>
      </c>
      <c r="C45" t="s">
        <v>38</v>
      </c>
      <c r="D45" s="6">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38</v>
      </c>
      <c r="D46" s="6">
        <v>20000</v>
      </c>
      <c r="E46">
        <v>3</v>
      </c>
      <c r="F46" t="s">
        <v>27</v>
      </c>
      <c r="G46" t="s">
        <v>25</v>
      </c>
      <c r="H46" t="s">
        <v>15</v>
      </c>
      <c r="I46">
        <v>0</v>
      </c>
      <c r="J46" t="s">
        <v>16</v>
      </c>
      <c r="K46" t="s">
        <v>17</v>
      </c>
      <c r="L46">
        <v>41</v>
      </c>
      <c r="M46" t="str">
        <f t="shared" si="0"/>
        <v>Middle Aged</v>
      </c>
      <c r="N46" t="s">
        <v>15</v>
      </c>
    </row>
    <row r="47" spans="1:14" x14ac:dyDescent="0.3">
      <c r="A47">
        <v>23986</v>
      </c>
      <c r="B47" t="s">
        <v>36</v>
      </c>
      <c r="C47" t="s">
        <v>38</v>
      </c>
      <c r="D47" s="6">
        <v>20000</v>
      </c>
      <c r="E47">
        <v>1</v>
      </c>
      <c r="F47" t="s">
        <v>13</v>
      </c>
      <c r="G47" t="s">
        <v>20</v>
      </c>
      <c r="H47" t="s">
        <v>15</v>
      </c>
      <c r="I47">
        <v>0</v>
      </c>
      <c r="J47" t="s">
        <v>16</v>
      </c>
      <c r="K47" t="s">
        <v>17</v>
      </c>
      <c r="L47">
        <v>66</v>
      </c>
      <c r="M47" t="str">
        <f t="shared" si="0"/>
        <v>Old Aged</v>
      </c>
      <c r="N47" t="s">
        <v>15</v>
      </c>
    </row>
    <row r="48" spans="1:14" x14ac:dyDescent="0.3">
      <c r="A48">
        <v>24466</v>
      </c>
      <c r="B48" t="s">
        <v>36</v>
      </c>
      <c r="C48" t="s">
        <v>38</v>
      </c>
      <c r="D48" s="6">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6">
        <v>40000</v>
      </c>
      <c r="E49">
        <v>2</v>
      </c>
      <c r="F49" t="s">
        <v>19</v>
      </c>
      <c r="G49" t="s">
        <v>14</v>
      </c>
      <c r="H49" t="s">
        <v>15</v>
      </c>
      <c r="I49">
        <v>2</v>
      </c>
      <c r="J49" t="s">
        <v>23</v>
      </c>
      <c r="K49" t="s">
        <v>24</v>
      </c>
      <c r="L49">
        <v>52</v>
      </c>
      <c r="M49" t="str">
        <f t="shared" si="0"/>
        <v>Middle Aged</v>
      </c>
      <c r="N49" t="s">
        <v>15</v>
      </c>
    </row>
    <row r="50" spans="1:14" x14ac:dyDescent="0.3">
      <c r="A50">
        <v>19487</v>
      </c>
      <c r="B50" t="s">
        <v>36</v>
      </c>
      <c r="C50" t="s">
        <v>39</v>
      </c>
      <c r="D50" s="6">
        <v>30000</v>
      </c>
      <c r="E50">
        <v>2</v>
      </c>
      <c r="F50" t="s">
        <v>19</v>
      </c>
      <c r="G50" t="s">
        <v>20</v>
      </c>
      <c r="H50" t="s">
        <v>18</v>
      </c>
      <c r="I50">
        <v>2</v>
      </c>
      <c r="J50" t="s">
        <v>16</v>
      </c>
      <c r="K50" t="s">
        <v>17</v>
      </c>
      <c r="L50">
        <v>42</v>
      </c>
      <c r="M50" t="str">
        <f t="shared" si="0"/>
        <v>Middle Aged</v>
      </c>
      <c r="N50" t="s">
        <v>18</v>
      </c>
    </row>
    <row r="51" spans="1:14" x14ac:dyDescent="0.3">
      <c r="A51">
        <v>14939</v>
      </c>
      <c r="B51" t="s">
        <v>37</v>
      </c>
      <c r="C51" t="s">
        <v>39</v>
      </c>
      <c r="D51" s="6">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6">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6">
        <v>80000</v>
      </c>
      <c r="E53">
        <v>0</v>
      </c>
      <c r="F53" t="s">
        <v>13</v>
      </c>
      <c r="G53" t="s">
        <v>21</v>
      </c>
      <c r="H53" t="s">
        <v>18</v>
      </c>
      <c r="I53">
        <v>4</v>
      </c>
      <c r="J53" t="s">
        <v>46</v>
      </c>
      <c r="K53" t="s">
        <v>24</v>
      </c>
      <c r="L53">
        <v>35</v>
      </c>
      <c r="M53" t="str">
        <f t="shared" si="0"/>
        <v>Middle Aged</v>
      </c>
      <c r="N53" t="s">
        <v>18</v>
      </c>
    </row>
    <row r="54" spans="1:14" x14ac:dyDescent="0.3">
      <c r="A54">
        <v>12558</v>
      </c>
      <c r="B54" t="s">
        <v>36</v>
      </c>
      <c r="C54" t="s">
        <v>38</v>
      </c>
      <c r="D54" s="6">
        <v>20000</v>
      </c>
      <c r="E54">
        <v>1</v>
      </c>
      <c r="F54" t="s">
        <v>13</v>
      </c>
      <c r="G54" t="s">
        <v>20</v>
      </c>
      <c r="H54" t="s">
        <v>15</v>
      </c>
      <c r="I54">
        <v>0</v>
      </c>
      <c r="J54" t="s">
        <v>16</v>
      </c>
      <c r="K54" t="s">
        <v>17</v>
      </c>
      <c r="L54">
        <v>65</v>
      </c>
      <c r="M54" t="str">
        <f t="shared" si="0"/>
        <v>Old Aged</v>
      </c>
      <c r="N54" t="s">
        <v>18</v>
      </c>
    </row>
    <row r="55" spans="1:14" x14ac:dyDescent="0.3">
      <c r="A55">
        <v>24871</v>
      </c>
      <c r="B55" t="s">
        <v>37</v>
      </c>
      <c r="C55" t="s">
        <v>38</v>
      </c>
      <c r="D55" s="6">
        <v>90000</v>
      </c>
      <c r="E55">
        <v>4</v>
      </c>
      <c r="F55" t="s">
        <v>27</v>
      </c>
      <c r="G55" t="s">
        <v>28</v>
      </c>
      <c r="H55" t="s">
        <v>18</v>
      </c>
      <c r="I55">
        <v>3</v>
      </c>
      <c r="J55" t="s">
        <v>23</v>
      </c>
      <c r="K55" t="s">
        <v>17</v>
      </c>
      <c r="L55">
        <v>56</v>
      </c>
      <c r="M55" t="str">
        <f t="shared" si="0"/>
        <v>Old Aged</v>
      </c>
      <c r="N55" t="s">
        <v>18</v>
      </c>
    </row>
    <row r="56" spans="1:14" x14ac:dyDescent="0.3">
      <c r="A56">
        <v>17319</v>
      </c>
      <c r="B56" t="s">
        <v>37</v>
      </c>
      <c r="C56" t="s">
        <v>38</v>
      </c>
      <c r="D56" s="6">
        <v>70000</v>
      </c>
      <c r="E56">
        <v>0</v>
      </c>
      <c r="F56" t="s">
        <v>13</v>
      </c>
      <c r="G56" t="s">
        <v>21</v>
      </c>
      <c r="H56" t="s">
        <v>18</v>
      </c>
      <c r="I56">
        <v>1</v>
      </c>
      <c r="J56" t="s">
        <v>23</v>
      </c>
      <c r="K56" t="s">
        <v>24</v>
      </c>
      <c r="L56">
        <v>42</v>
      </c>
      <c r="M56" t="str">
        <f t="shared" si="0"/>
        <v>Middle Aged</v>
      </c>
      <c r="N56" t="s">
        <v>18</v>
      </c>
    </row>
    <row r="57" spans="1:14" x14ac:dyDescent="0.3">
      <c r="A57">
        <v>28906</v>
      </c>
      <c r="B57" t="s">
        <v>36</v>
      </c>
      <c r="C57" t="s">
        <v>39</v>
      </c>
      <c r="D57" s="6">
        <v>80000</v>
      </c>
      <c r="E57">
        <v>4</v>
      </c>
      <c r="F57" t="s">
        <v>27</v>
      </c>
      <c r="G57" t="s">
        <v>21</v>
      </c>
      <c r="H57" t="s">
        <v>15</v>
      </c>
      <c r="I57">
        <v>2</v>
      </c>
      <c r="J57" t="s">
        <v>46</v>
      </c>
      <c r="K57" t="s">
        <v>17</v>
      </c>
      <c r="L57">
        <v>54</v>
      </c>
      <c r="M57" t="str">
        <f t="shared" si="0"/>
        <v>Middle Aged</v>
      </c>
      <c r="N57" t="s">
        <v>18</v>
      </c>
    </row>
    <row r="58" spans="1:14" x14ac:dyDescent="0.3">
      <c r="A58">
        <v>12808</v>
      </c>
      <c r="B58" t="s">
        <v>36</v>
      </c>
      <c r="C58" t="s">
        <v>39</v>
      </c>
      <c r="D58" s="6">
        <v>40000</v>
      </c>
      <c r="E58">
        <v>0</v>
      </c>
      <c r="F58" t="s">
        <v>13</v>
      </c>
      <c r="G58" t="s">
        <v>20</v>
      </c>
      <c r="H58" t="s">
        <v>15</v>
      </c>
      <c r="I58">
        <v>0</v>
      </c>
      <c r="J58" t="s">
        <v>16</v>
      </c>
      <c r="K58" t="s">
        <v>17</v>
      </c>
      <c r="L58">
        <v>38</v>
      </c>
      <c r="M58" t="str">
        <f t="shared" si="0"/>
        <v>Middle Aged</v>
      </c>
      <c r="N58" t="s">
        <v>15</v>
      </c>
    </row>
    <row r="59" spans="1:14" x14ac:dyDescent="0.3">
      <c r="A59">
        <v>20567</v>
      </c>
      <c r="B59" t="s">
        <v>36</v>
      </c>
      <c r="C59" t="s">
        <v>39</v>
      </c>
      <c r="D59" s="6">
        <v>130000</v>
      </c>
      <c r="E59">
        <v>4</v>
      </c>
      <c r="F59" t="s">
        <v>19</v>
      </c>
      <c r="G59" t="s">
        <v>21</v>
      </c>
      <c r="H59" t="s">
        <v>18</v>
      </c>
      <c r="I59">
        <v>4</v>
      </c>
      <c r="J59" t="s">
        <v>23</v>
      </c>
      <c r="K59" t="s">
        <v>17</v>
      </c>
      <c r="L59">
        <v>61</v>
      </c>
      <c r="M59" t="str">
        <f t="shared" si="0"/>
        <v>Old Aged</v>
      </c>
      <c r="N59" t="s">
        <v>15</v>
      </c>
    </row>
    <row r="60" spans="1:14" x14ac:dyDescent="0.3">
      <c r="A60">
        <v>25502</v>
      </c>
      <c r="B60" t="s">
        <v>36</v>
      </c>
      <c r="C60" t="s">
        <v>38</v>
      </c>
      <c r="D60" s="6">
        <v>40000</v>
      </c>
      <c r="E60">
        <v>1</v>
      </c>
      <c r="F60" t="s">
        <v>13</v>
      </c>
      <c r="G60" t="s">
        <v>14</v>
      </c>
      <c r="H60" t="s">
        <v>15</v>
      </c>
      <c r="I60">
        <v>0</v>
      </c>
      <c r="J60" t="s">
        <v>16</v>
      </c>
      <c r="K60" t="s">
        <v>17</v>
      </c>
      <c r="L60">
        <v>43</v>
      </c>
      <c r="M60" t="str">
        <f t="shared" si="0"/>
        <v>Middle Aged</v>
      </c>
      <c r="N60" t="s">
        <v>15</v>
      </c>
    </row>
    <row r="61" spans="1:14" x14ac:dyDescent="0.3">
      <c r="A61">
        <v>15580</v>
      </c>
      <c r="B61" t="s">
        <v>36</v>
      </c>
      <c r="C61" t="s">
        <v>39</v>
      </c>
      <c r="D61" s="6">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6">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6">
        <v>10000</v>
      </c>
      <c r="E63">
        <v>2</v>
      </c>
      <c r="F63" t="s">
        <v>27</v>
      </c>
      <c r="G63" t="s">
        <v>25</v>
      </c>
      <c r="H63" t="s">
        <v>15</v>
      </c>
      <c r="I63">
        <v>0</v>
      </c>
      <c r="J63" t="s">
        <v>16</v>
      </c>
      <c r="K63" t="s">
        <v>17</v>
      </c>
      <c r="L63">
        <v>35</v>
      </c>
      <c r="M63" t="str">
        <f t="shared" si="0"/>
        <v>Middle Aged</v>
      </c>
      <c r="N63" t="s">
        <v>18</v>
      </c>
    </row>
    <row r="64" spans="1:14" x14ac:dyDescent="0.3">
      <c r="A64">
        <v>16713</v>
      </c>
      <c r="B64" t="s">
        <v>36</v>
      </c>
      <c r="C64" t="s">
        <v>39</v>
      </c>
      <c r="D64" s="6">
        <v>40000</v>
      </c>
      <c r="E64">
        <v>2</v>
      </c>
      <c r="F64" t="s">
        <v>13</v>
      </c>
      <c r="G64" t="s">
        <v>28</v>
      </c>
      <c r="H64" t="s">
        <v>15</v>
      </c>
      <c r="I64">
        <v>1</v>
      </c>
      <c r="J64" t="s">
        <v>16</v>
      </c>
      <c r="K64" t="s">
        <v>24</v>
      </c>
      <c r="L64">
        <v>52</v>
      </c>
      <c r="M64" t="str">
        <f t="shared" si="0"/>
        <v>Middle Aged</v>
      </c>
      <c r="N64" t="s">
        <v>15</v>
      </c>
    </row>
    <row r="65" spans="1:14" x14ac:dyDescent="0.3">
      <c r="A65">
        <v>16185</v>
      </c>
      <c r="B65" t="s">
        <v>37</v>
      </c>
      <c r="C65" t="s">
        <v>39</v>
      </c>
      <c r="D65" s="6">
        <v>60000</v>
      </c>
      <c r="E65">
        <v>4</v>
      </c>
      <c r="F65" t="s">
        <v>13</v>
      </c>
      <c r="G65" t="s">
        <v>21</v>
      </c>
      <c r="H65" t="s">
        <v>15</v>
      </c>
      <c r="I65">
        <v>3</v>
      </c>
      <c r="J65" t="s">
        <v>46</v>
      </c>
      <c r="K65" t="s">
        <v>24</v>
      </c>
      <c r="L65">
        <v>41</v>
      </c>
      <c r="M65" t="str">
        <f t="shared" si="0"/>
        <v>Middle Aged</v>
      </c>
      <c r="N65" t="s">
        <v>18</v>
      </c>
    </row>
    <row r="66" spans="1:14" x14ac:dyDescent="0.3">
      <c r="A66">
        <v>14927</v>
      </c>
      <c r="B66" t="s">
        <v>36</v>
      </c>
      <c r="C66" t="s">
        <v>38</v>
      </c>
      <c r="D66" s="6">
        <v>30000</v>
      </c>
      <c r="E66">
        <v>1</v>
      </c>
      <c r="F66" t="s">
        <v>13</v>
      </c>
      <c r="G66" t="s">
        <v>20</v>
      </c>
      <c r="H66" t="s">
        <v>15</v>
      </c>
      <c r="I66">
        <v>0</v>
      </c>
      <c r="J66" t="s">
        <v>16</v>
      </c>
      <c r="K66" t="s">
        <v>17</v>
      </c>
      <c r="L66">
        <v>37</v>
      </c>
      <c r="M66" t="str">
        <f t="shared" si="0"/>
        <v>Middle Aged</v>
      </c>
      <c r="N66" t="s">
        <v>15</v>
      </c>
    </row>
    <row r="67" spans="1:14" x14ac:dyDescent="0.3">
      <c r="A67">
        <v>29337</v>
      </c>
      <c r="B67" t="s">
        <v>37</v>
      </c>
      <c r="C67" t="s">
        <v>39</v>
      </c>
      <c r="D67" s="6">
        <v>30000</v>
      </c>
      <c r="E67">
        <v>2</v>
      </c>
      <c r="F67" t="s">
        <v>19</v>
      </c>
      <c r="G67" t="s">
        <v>20</v>
      </c>
      <c r="H67" t="s">
        <v>15</v>
      </c>
      <c r="I67">
        <v>2</v>
      </c>
      <c r="J67" t="s">
        <v>23</v>
      </c>
      <c r="K67" t="s">
        <v>24</v>
      </c>
      <c r="L67">
        <v>68</v>
      </c>
      <c r="M67" t="str">
        <f t="shared" ref="M67:M130" si="1">IF(L67 &gt; 54, "Old Aged", IF($L67 &gt;= 31,"Middle Aged", "Adolescent"))</f>
        <v>Old Aged</v>
      </c>
      <c r="N67" t="s">
        <v>18</v>
      </c>
    </row>
    <row r="68" spans="1:14" x14ac:dyDescent="0.3">
      <c r="A68">
        <v>29355</v>
      </c>
      <c r="B68" t="s">
        <v>36</v>
      </c>
      <c r="C68" t="s">
        <v>38</v>
      </c>
      <c r="D68" s="6">
        <v>40000</v>
      </c>
      <c r="E68">
        <v>0</v>
      </c>
      <c r="F68" t="s">
        <v>31</v>
      </c>
      <c r="G68" t="s">
        <v>20</v>
      </c>
      <c r="H68" t="s">
        <v>15</v>
      </c>
      <c r="I68">
        <v>0</v>
      </c>
      <c r="J68" t="s">
        <v>16</v>
      </c>
      <c r="K68" t="s">
        <v>17</v>
      </c>
      <c r="L68">
        <v>37</v>
      </c>
      <c r="M68" t="str">
        <f t="shared" si="1"/>
        <v>Middle Aged</v>
      </c>
      <c r="N68" t="s">
        <v>15</v>
      </c>
    </row>
    <row r="69" spans="1:14" x14ac:dyDescent="0.3">
      <c r="A69">
        <v>25303</v>
      </c>
      <c r="B69" t="s">
        <v>37</v>
      </c>
      <c r="C69" t="s">
        <v>39</v>
      </c>
      <c r="D69" s="6">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6">
        <v>20000</v>
      </c>
      <c r="E70">
        <v>4</v>
      </c>
      <c r="F70" t="s">
        <v>27</v>
      </c>
      <c r="G70" t="s">
        <v>25</v>
      </c>
      <c r="H70" t="s">
        <v>15</v>
      </c>
      <c r="I70">
        <v>1</v>
      </c>
      <c r="J70" t="s">
        <v>16</v>
      </c>
      <c r="K70" t="s">
        <v>17</v>
      </c>
      <c r="L70">
        <v>43</v>
      </c>
      <c r="M70" t="str">
        <f t="shared" si="1"/>
        <v>Middle Aged</v>
      </c>
      <c r="N70" t="s">
        <v>15</v>
      </c>
    </row>
    <row r="71" spans="1:14" x14ac:dyDescent="0.3">
      <c r="A71">
        <v>16438</v>
      </c>
      <c r="B71" t="s">
        <v>36</v>
      </c>
      <c r="C71" t="s">
        <v>38</v>
      </c>
      <c r="D71" s="6">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6">
        <v>120000</v>
      </c>
      <c r="E72">
        <v>0</v>
      </c>
      <c r="F72" t="s">
        <v>29</v>
      </c>
      <c r="G72" t="s">
        <v>21</v>
      </c>
      <c r="H72" t="s">
        <v>15</v>
      </c>
      <c r="I72">
        <v>4</v>
      </c>
      <c r="J72" t="s">
        <v>46</v>
      </c>
      <c r="K72" t="s">
        <v>24</v>
      </c>
      <c r="L72">
        <v>36</v>
      </c>
      <c r="M72" t="str">
        <f t="shared" si="1"/>
        <v>Middle Aged</v>
      </c>
      <c r="N72" t="s">
        <v>15</v>
      </c>
    </row>
    <row r="73" spans="1:14" x14ac:dyDescent="0.3">
      <c r="A73">
        <v>16200</v>
      </c>
      <c r="B73" t="s">
        <v>37</v>
      </c>
      <c r="C73" t="s">
        <v>38</v>
      </c>
      <c r="D73" s="6">
        <v>10000</v>
      </c>
      <c r="E73">
        <v>0</v>
      </c>
      <c r="F73" t="s">
        <v>29</v>
      </c>
      <c r="G73" t="s">
        <v>25</v>
      </c>
      <c r="H73" t="s">
        <v>18</v>
      </c>
      <c r="I73">
        <v>2</v>
      </c>
      <c r="J73" t="s">
        <v>16</v>
      </c>
      <c r="K73" t="s">
        <v>17</v>
      </c>
      <c r="L73">
        <v>35</v>
      </c>
      <c r="M73" t="str">
        <f t="shared" si="1"/>
        <v>Middle Aged</v>
      </c>
      <c r="N73" t="s">
        <v>18</v>
      </c>
    </row>
    <row r="74" spans="1:14" x14ac:dyDescent="0.3">
      <c r="A74">
        <v>24857</v>
      </c>
      <c r="B74" t="s">
        <v>36</v>
      </c>
      <c r="C74" t="s">
        <v>38</v>
      </c>
      <c r="D74" s="6">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38</v>
      </c>
      <c r="D75" s="6">
        <v>20000</v>
      </c>
      <c r="E75">
        <v>0</v>
      </c>
      <c r="F75" t="s">
        <v>19</v>
      </c>
      <c r="G75" t="s">
        <v>25</v>
      </c>
      <c r="H75" t="s">
        <v>18</v>
      </c>
      <c r="I75">
        <v>1</v>
      </c>
      <c r="J75" t="s">
        <v>22</v>
      </c>
      <c r="K75" t="s">
        <v>17</v>
      </c>
      <c r="L75">
        <v>36</v>
      </c>
      <c r="M75" t="str">
        <f t="shared" si="1"/>
        <v>Middle Aged</v>
      </c>
      <c r="N75" t="s">
        <v>15</v>
      </c>
    </row>
    <row r="76" spans="1:14" x14ac:dyDescent="0.3">
      <c r="A76">
        <v>14517</v>
      </c>
      <c r="B76" t="s">
        <v>36</v>
      </c>
      <c r="C76" t="s">
        <v>38</v>
      </c>
      <c r="D76" s="6">
        <v>20000</v>
      </c>
      <c r="E76">
        <v>3</v>
      </c>
      <c r="F76" t="s">
        <v>27</v>
      </c>
      <c r="G76" t="s">
        <v>14</v>
      </c>
      <c r="H76" t="s">
        <v>18</v>
      </c>
      <c r="I76">
        <v>2</v>
      </c>
      <c r="J76" t="s">
        <v>26</v>
      </c>
      <c r="K76" t="s">
        <v>24</v>
      </c>
      <c r="L76">
        <v>62</v>
      </c>
      <c r="M76" t="str">
        <f t="shared" si="1"/>
        <v>Old Aged</v>
      </c>
      <c r="N76" t="s">
        <v>18</v>
      </c>
    </row>
    <row r="77" spans="1:14" x14ac:dyDescent="0.3">
      <c r="A77">
        <v>12678</v>
      </c>
      <c r="B77" t="s">
        <v>37</v>
      </c>
      <c r="C77" t="s">
        <v>38</v>
      </c>
      <c r="D77" s="6">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6">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6">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6">
        <v>80000</v>
      </c>
      <c r="E80">
        <v>2</v>
      </c>
      <c r="F80" t="s">
        <v>27</v>
      </c>
      <c r="G80" t="s">
        <v>14</v>
      </c>
      <c r="H80" t="s">
        <v>18</v>
      </c>
      <c r="I80">
        <v>2</v>
      </c>
      <c r="J80" t="s">
        <v>26</v>
      </c>
      <c r="K80" t="s">
        <v>24</v>
      </c>
      <c r="L80">
        <v>50</v>
      </c>
      <c r="M80" t="str">
        <f t="shared" si="1"/>
        <v>Middle Aged</v>
      </c>
      <c r="N80" t="s">
        <v>15</v>
      </c>
    </row>
    <row r="81" spans="1:14" x14ac:dyDescent="0.3">
      <c r="A81">
        <v>27745</v>
      </c>
      <c r="B81" t="s">
        <v>37</v>
      </c>
      <c r="C81" t="s">
        <v>39</v>
      </c>
      <c r="D81" s="6">
        <v>40000</v>
      </c>
      <c r="E81">
        <v>2</v>
      </c>
      <c r="F81" t="s">
        <v>13</v>
      </c>
      <c r="G81" t="s">
        <v>28</v>
      </c>
      <c r="H81" t="s">
        <v>15</v>
      </c>
      <c r="I81">
        <v>2</v>
      </c>
      <c r="J81" t="s">
        <v>23</v>
      </c>
      <c r="K81" t="s">
        <v>24</v>
      </c>
      <c r="L81">
        <v>63</v>
      </c>
      <c r="M81" t="str">
        <f t="shared" si="1"/>
        <v>Old Aged</v>
      </c>
      <c r="N81" t="s">
        <v>15</v>
      </c>
    </row>
    <row r="82" spans="1:14" x14ac:dyDescent="0.3">
      <c r="A82">
        <v>20828</v>
      </c>
      <c r="B82" t="s">
        <v>36</v>
      </c>
      <c r="C82" t="s">
        <v>38</v>
      </c>
      <c r="D82" s="6">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6">
        <v>10000</v>
      </c>
      <c r="E83">
        <v>4</v>
      </c>
      <c r="F83" t="s">
        <v>29</v>
      </c>
      <c r="G83" t="s">
        <v>25</v>
      </c>
      <c r="H83" t="s">
        <v>15</v>
      </c>
      <c r="I83">
        <v>2</v>
      </c>
      <c r="J83" t="s">
        <v>16</v>
      </c>
      <c r="K83" t="s">
        <v>17</v>
      </c>
      <c r="L83">
        <v>40</v>
      </c>
      <c r="M83" t="str">
        <f t="shared" si="1"/>
        <v>Middle Aged</v>
      </c>
      <c r="N83" t="s">
        <v>18</v>
      </c>
    </row>
    <row r="84" spans="1:14" x14ac:dyDescent="0.3">
      <c r="A84">
        <v>26941</v>
      </c>
      <c r="B84" t="s">
        <v>36</v>
      </c>
      <c r="C84" t="s">
        <v>39</v>
      </c>
      <c r="D84" s="6">
        <v>30000</v>
      </c>
      <c r="E84">
        <v>0</v>
      </c>
      <c r="F84" t="s">
        <v>13</v>
      </c>
      <c r="G84" t="s">
        <v>20</v>
      </c>
      <c r="H84" t="s">
        <v>15</v>
      </c>
      <c r="I84">
        <v>0</v>
      </c>
      <c r="J84" t="s">
        <v>16</v>
      </c>
      <c r="K84" t="s">
        <v>17</v>
      </c>
      <c r="L84">
        <v>47</v>
      </c>
      <c r="M84" t="str">
        <f t="shared" si="1"/>
        <v>Middle Aged</v>
      </c>
      <c r="N84" t="s">
        <v>15</v>
      </c>
    </row>
    <row r="85" spans="1:14" x14ac:dyDescent="0.3">
      <c r="A85">
        <v>28412</v>
      </c>
      <c r="B85" t="s">
        <v>37</v>
      </c>
      <c r="C85" t="s">
        <v>39</v>
      </c>
      <c r="D85" s="6">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6">
        <v>40000</v>
      </c>
      <c r="E86">
        <v>2</v>
      </c>
      <c r="F86" t="s">
        <v>13</v>
      </c>
      <c r="G86" t="s">
        <v>28</v>
      </c>
      <c r="H86" t="s">
        <v>18</v>
      </c>
      <c r="I86">
        <v>1</v>
      </c>
      <c r="J86" t="s">
        <v>23</v>
      </c>
      <c r="K86" t="s">
        <v>24</v>
      </c>
      <c r="L86">
        <v>52</v>
      </c>
      <c r="M86" t="str">
        <f t="shared" si="1"/>
        <v>Middle Aged</v>
      </c>
      <c r="N86" t="s">
        <v>15</v>
      </c>
    </row>
    <row r="87" spans="1:14" x14ac:dyDescent="0.3">
      <c r="A87">
        <v>16514</v>
      </c>
      <c r="B87" t="s">
        <v>37</v>
      </c>
      <c r="C87" t="s">
        <v>39</v>
      </c>
      <c r="D87" s="6">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6">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39</v>
      </c>
      <c r="D89" s="6">
        <v>80000</v>
      </c>
      <c r="E89">
        <v>5</v>
      </c>
      <c r="F89" t="s">
        <v>13</v>
      </c>
      <c r="G89" t="s">
        <v>21</v>
      </c>
      <c r="H89" t="s">
        <v>15</v>
      </c>
      <c r="I89">
        <v>4</v>
      </c>
      <c r="J89" t="s">
        <v>26</v>
      </c>
      <c r="K89" t="s">
        <v>24</v>
      </c>
      <c r="L89">
        <v>40</v>
      </c>
      <c r="M89" t="str">
        <f t="shared" si="1"/>
        <v>Middle Aged</v>
      </c>
      <c r="N89" t="s">
        <v>18</v>
      </c>
    </row>
    <row r="90" spans="1:14" x14ac:dyDescent="0.3">
      <c r="A90">
        <v>24119</v>
      </c>
      <c r="B90" t="s">
        <v>37</v>
      </c>
      <c r="C90" t="s">
        <v>39</v>
      </c>
      <c r="D90" s="6">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6">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6">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6">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6">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6">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6">
        <v>30000</v>
      </c>
      <c r="E96">
        <v>3</v>
      </c>
      <c r="F96" t="s">
        <v>27</v>
      </c>
      <c r="G96" t="s">
        <v>14</v>
      </c>
      <c r="H96" t="s">
        <v>15</v>
      </c>
      <c r="I96">
        <v>2</v>
      </c>
      <c r="J96" t="s">
        <v>23</v>
      </c>
      <c r="K96" t="s">
        <v>24</v>
      </c>
      <c r="L96">
        <v>55</v>
      </c>
      <c r="M96" t="str">
        <f t="shared" si="1"/>
        <v>Old Aged</v>
      </c>
      <c r="N96" t="s">
        <v>18</v>
      </c>
    </row>
    <row r="97" spans="1:14" x14ac:dyDescent="0.3">
      <c r="A97">
        <v>17197</v>
      </c>
      <c r="B97" t="s">
        <v>37</v>
      </c>
      <c r="C97" t="s">
        <v>38</v>
      </c>
      <c r="D97" s="6">
        <v>90000</v>
      </c>
      <c r="E97">
        <v>5</v>
      </c>
      <c r="F97" t="s">
        <v>19</v>
      </c>
      <c r="G97" t="s">
        <v>21</v>
      </c>
      <c r="H97" t="s">
        <v>15</v>
      </c>
      <c r="I97">
        <v>2</v>
      </c>
      <c r="J97" t="s">
        <v>46</v>
      </c>
      <c r="K97" t="s">
        <v>17</v>
      </c>
      <c r="L97">
        <v>62</v>
      </c>
      <c r="M97" t="str">
        <f t="shared" si="1"/>
        <v>Old Aged</v>
      </c>
      <c r="N97" t="s">
        <v>18</v>
      </c>
    </row>
    <row r="98" spans="1:14" x14ac:dyDescent="0.3">
      <c r="A98">
        <v>12507</v>
      </c>
      <c r="B98" t="s">
        <v>36</v>
      </c>
      <c r="C98" t="s">
        <v>39</v>
      </c>
      <c r="D98" s="6">
        <v>30000</v>
      </c>
      <c r="E98">
        <v>1</v>
      </c>
      <c r="F98" t="s">
        <v>19</v>
      </c>
      <c r="G98" t="s">
        <v>20</v>
      </c>
      <c r="H98" t="s">
        <v>15</v>
      </c>
      <c r="I98">
        <v>1</v>
      </c>
      <c r="J98" t="s">
        <v>16</v>
      </c>
      <c r="K98" t="s">
        <v>17</v>
      </c>
      <c r="L98">
        <v>43</v>
      </c>
      <c r="M98" t="str">
        <f t="shared" si="1"/>
        <v>Middle Aged</v>
      </c>
      <c r="N98" t="s">
        <v>18</v>
      </c>
    </row>
    <row r="99" spans="1:14" x14ac:dyDescent="0.3">
      <c r="A99">
        <v>23940</v>
      </c>
      <c r="B99" t="s">
        <v>36</v>
      </c>
      <c r="C99" t="s">
        <v>39</v>
      </c>
      <c r="D99" s="6">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39</v>
      </c>
      <c r="D100" s="6">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6">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39</v>
      </c>
      <c r="D102" s="6">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39</v>
      </c>
      <c r="D103" s="6">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39</v>
      </c>
      <c r="D104" s="6">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39</v>
      </c>
      <c r="D105" s="6">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6">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6">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6">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38</v>
      </c>
      <c r="D109" s="6">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38</v>
      </c>
      <c r="D110" s="6">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39</v>
      </c>
      <c r="D111" s="6">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6">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6">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6">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6">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39</v>
      </c>
      <c r="D116" s="6">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6">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6">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6">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39</v>
      </c>
      <c r="D120" s="6">
        <v>80000</v>
      </c>
      <c r="E120">
        <v>5</v>
      </c>
      <c r="F120" t="s">
        <v>13</v>
      </c>
      <c r="G120" t="s">
        <v>28</v>
      </c>
      <c r="H120" t="s">
        <v>15</v>
      </c>
      <c r="I120">
        <v>2</v>
      </c>
      <c r="J120" t="s">
        <v>22</v>
      </c>
      <c r="K120" t="s">
        <v>17</v>
      </c>
      <c r="L120">
        <v>62</v>
      </c>
      <c r="M120" t="str">
        <f t="shared" si="1"/>
        <v>Old Aged</v>
      </c>
      <c r="N120" t="s">
        <v>18</v>
      </c>
    </row>
    <row r="121" spans="1:14" x14ac:dyDescent="0.3">
      <c r="A121">
        <v>12871</v>
      </c>
      <c r="B121" t="s">
        <v>37</v>
      </c>
      <c r="C121" t="s">
        <v>38</v>
      </c>
      <c r="D121" s="6">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6">
        <v>40000</v>
      </c>
      <c r="E122">
        <v>2</v>
      </c>
      <c r="F122" t="s">
        <v>13</v>
      </c>
      <c r="G122" t="s">
        <v>28</v>
      </c>
      <c r="H122" t="s">
        <v>15</v>
      </c>
      <c r="I122">
        <v>2</v>
      </c>
      <c r="J122" t="s">
        <v>23</v>
      </c>
      <c r="K122" t="s">
        <v>24</v>
      </c>
      <c r="L122">
        <v>66</v>
      </c>
      <c r="M122" t="str">
        <f t="shared" si="1"/>
        <v>Old Aged</v>
      </c>
      <c r="N122" t="s">
        <v>15</v>
      </c>
    </row>
    <row r="123" spans="1:14" x14ac:dyDescent="0.3">
      <c r="A123">
        <v>15922</v>
      </c>
      <c r="B123" t="s">
        <v>36</v>
      </c>
      <c r="C123" t="s">
        <v>39</v>
      </c>
      <c r="D123" s="6">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6">
        <v>80000</v>
      </c>
      <c r="E124">
        <v>0</v>
      </c>
      <c r="F124" t="s">
        <v>13</v>
      </c>
      <c r="G124" t="s">
        <v>21</v>
      </c>
      <c r="H124" t="s">
        <v>18</v>
      </c>
      <c r="I124">
        <v>3</v>
      </c>
      <c r="J124" t="s">
        <v>46</v>
      </c>
      <c r="K124" t="s">
        <v>24</v>
      </c>
      <c r="L124">
        <v>31</v>
      </c>
      <c r="M124" t="str">
        <f t="shared" si="1"/>
        <v>Middle Aged</v>
      </c>
      <c r="N124" t="s">
        <v>18</v>
      </c>
    </row>
    <row r="125" spans="1:14" x14ac:dyDescent="0.3">
      <c r="A125">
        <v>23627</v>
      </c>
      <c r="B125" t="s">
        <v>37</v>
      </c>
      <c r="C125" t="s">
        <v>38</v>
      </c>
      <c r="D125" s="6">
        <v>100000</v>
      </c>
      <c r="E125">
        <v>3</v>
      </c>
      <c r="F125" t="s">
        <v>19</v>
      </c>
      <c r="G125" t="s">
        <v>28</v>
      </c>
      <c r="H125" t="s">
        <v>18</v>
      </c>
      <c r="I125">
        <v>4</v>
      </c>
      <c r="J125" t="s">
        <v>23</v>
      </c>
      <c r="K125" t="s">
        <v>17</v>
      </c>
      <c r="L125">
        <v>56</v>
      </c>
      <c r="M125" t="str">
        <f t="shared" si="1"/>
        <v>Old Aged</v>
      </c>
      <c r="N125" t="s">
        <v>18</v>
      </c>
    </row>
    <row r="126" spans="1:14" x14ac:dyDescent="0.3">
      <c r="A126">
        <v>27775</v>
      </c>
      <c r="B126" t="s">
        <v>37</v>
      </c>
      <c r="C126" t="s">
        <v>38</v>
      </c>
      <c r="D126" s="6">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39</v>
      </c>
      <c r="D127" s="6">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39</v>
      </c>
      <c r="D128" s="6">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39</v>
      </c>
      <c r="D129" s="6">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39</v>
      </c>
      <c r="D130" s="6">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39</v>
      </c>
      <c r="D131" s="6">
        <v>10000</v>
      </c>
      <c r="E131">
        <v>3</v>
      </c>
      <c r="F131" t="s">
        <v>27</v>
      </c>
      <c r="G131" t="s">
        <v>25</v>
      </c>
      <c r="H131" t="s">
        <v>15</v>
      </c>
      <c r="I131">
        <v>1</v>
      </c>
      <c r="J131" t="s">
        <v>16</v>
      </c>
      <c r="K131" t="s">
        <v>17</v>
      </c>
      <c r="L131">
        <v>39</v>
      </c>
      <c r="M131" t="str">
        <f t="shared" ref="M131:M194" si="2">IF(L131 &gt; 54, "Old Aged", IF($L131 &gt;= 31,"Middle Aged", "Adolescent"))</f>
        <v>Middle Aged</v>
      </c>
      <c r="N131" t="s">
        <v>15</v>
      </c>
    </row>
    <row r="132" spans="1:14" x14ac:dyDescent="0.3">
      <c r="A132">
        <v>12993</v>
      </c>
      <c r="B132" t="s">
        <v>36</v>
      </c>
      <c r="C132" t="s">
        <v>39</v>
      </c>
      <c r="D132" s="6">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39</v>
      </c>
      <c r="D133" s="6">
        <v>90000</v>
      </c>
      <c r="E133">
        <v>4</v>
      </c>
      <c r="F133" t="s">
        <v>27</v>
      </c>
      <c r="G133" t="s">
        <v>28</v>
      </c>
      <c r="H133" t="s">
        <v>15</v>
      </c>
      <c r="I133">
        <v>3</v>
      </c>
      <c r="J133" t="s">
        <v>23</v>
      </c>
      <c r="K133" t="s">
        <v>17</v>
      </c>
      <c r="L133">
        <v>56</v>
      </c>
      <c r="M133" t="str">
        <f t="shared" si="2"/>
        <v>Old Aged</v>
      </c>
      <c r="N133" t="s">
        <v>15</v>
      </c>
    </row>
    <row r="134" spans="1:14" x14ac:dyDescent="0.3">
      <c r="A134">
        <v>19477</v>
      </c>
      <c r="B134" t="s">
        <v>36</v>
      </c>
      <c r="C134" t="s">
        <v>39</v>
      </c>
      <c r="D134" s="6">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39</v>
      </c>
      <c r="D135" s="6">
        <v>40000</v>
      </c>
      <c r="E135">
        <v>2</v>
      </c>
      <c r="F135" t="s">
        <v>13</v>
      </c>
      <c r="G135" t="s">
        <v>28</v>
      </c>
      <c r="H135" t="s">
        <v>15</v>
      </c>
      <c r="I135">
        <v>2</v>
      </c>
      <c r="J135" t="s">
        <v>23</v>
      </c>
      <c r="K135" t="s">
        <v>24</v>
      </c>
      <c r="L135">
        <v>65</v>
      </c>
      <c r="M135" t="str">
        <f t="shared" si="2"/>
        <v>Old Aged</v>
      </c>
      <c r="N135" t="s">
        <v>15</v>
      </c>
    </row>
    <row r="136" spans="1:14" x14ac:dyDescent="0.3">
      <c r="A136">
        <v>21094</v>
      </c>
      <c r="B136" t="s">
        <v>37</v>
      </c>
      <c r="C136" t="s">
        <v>38</v>
      </c>
      <c r="D136" s="6">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39</v>
      </c>
      <c r="D137" s="6">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38</v>
      </c>
      <c r="D138" s="6">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39</v>
      </c>
      <c r="D139" s="6">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38</v>
      </c>
      <c r="D140" s="6">
        <v>20000</v>
      </c>
      <c r="E140">
        <v>2</v>
      </c>
      <c r="F140" t="s">
        <v>29</v>
      </c>
      <c r="G140" t="s">
        <v>20</v>
      </c>
      <c r="H140" t="s">
        <v>15</v>
      </c>
      <c r="I140">
        <v>2</v>
      </c>
      <c r="J140" t="s">
        <v>23</v>
      </c>
      <c r="K140" t="s">
        <v>24</v>
      </c>
      <c r="L140">
        <v>55</v>
      </c>
      <c r="M140" t="str">
        <f t="shared" si="2"/>
        <v>Old Aged</v>
      </c>
      <c r="N140" t="s">
        <v>15</v>
      </c>
    </row>
    <row r="141" spans="1:14" x14ac:dyDescent="0.3">
      <c r="A141">
        <v>26547</v>
      </c>
      <c r="B141" t="s">
        <v>37</v>
      </c>
      <c r="C141" t="s">
        <v>38</v>
      </c>
      <c r="D141" s="6">
        <v>30000</v>
      </c>
      <c r="E141">
        <v>2</v>
      </c>
      <c r="F141" t="s">
        <v>19</v>
      </c>
      <c r="G141" t="s">
        <v>20</v>
      </c>
      <c r="H141" t="s">
        <v>18</v>
      </c>
      <c r="I141">
        <v>2</v>
      </c>
      <c r="J141" t="s">
        <v>23</v>
      </c>
      <c r="K141" t="s">
        <v>24</v>
      </c>
      <c r="L141">
        <v>60</v>
      </c>
      <c r="M141" t="str">
        <f t="shared" si="2"/>
        <v>Old Aged</v>
      </c>
      <c r="N141" t="s">
        <v>15</v>
      </c>
    </row>
    <row r="142" spans="1:14" x14ac:dyDescent="0.3">
      <c r="A142">
        <v>22500</v>
      </c>
      <c r="B142" t="s">
        <v>37</v>
      </c>
      <c r="C142" t="s">
        <v>39</v>
      </c>
      <c r="D142" s="6">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6">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6">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38</v>
      </c>
      <c r="D145" s="6">
        <v>80000</v>
      </c>
      <c r="E145">
        <v>0</v>
      </c>
      <c r="F145" t="s">
        <v>13</v>
      </c>
      <c r="G145" t="s">
        <v>21</v>
      </c>
      <c r="H145" t="s">
        <v>15</v>
      </c>
      <c r="I145">
        <v>3</v>
      </c>
      <c r="J145" t="s">
        <v>46</v>
      </c>
      <c r="K145" t="s">
        <v>24</v>
      </c>
      <c r="L145">
        <v>32</v>
      </c>
      <c r="M145" t="str">
        <f t="shared" si="2"/>
        <v>Middle Aged</v>
      </c>
      <c r="N145" t="s">
        <v>18</v>
      </c>
    </row>
    <row r="146" spans="1:14" x14ac:dyDescent="0.3">
      <c r="A146">
        <v>20877</v>
      </c>
      <c r="B146" t="s">
        <v>37</v>
      </c>
      <c r="C146" t="s">
        <v>39</v>
      </c>
      <c r="D146" s="6">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38</v>
      </c>
      <c r="D147" s="6">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39</v>
      </c>
      <c r="D148" s="6">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38</v>
      </c>
      <c r="D149" s="6">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39</v>
      </c>
      <c r="D150" s="6">
        <v>20000</v>
      </c>
      <c r="E150">
        <v>4</v>
      </c>
      <c r="F150" t="s">
        <v>27</v>
      </c>
      <c r="G150" t="s">
        <v>14</v>
      </c>
      <c r="H150" t="s">
        <v>15</v>
      </c>
      <c r="I150">
        <v>2</v>
      </c>
      <c r="J150" t="s">
        <v>23</v>
      </c>
      <c r="K150" t="s">
        <v>24</v>
      </c>
      <c r="L150">
        <v>60</v>
      </c>
      <c r="M150" t="str">
        <f t="shared" si="2"/>
        <v>Old Aged</v>
      </c>
      <c r="N150" t="s">
        <v>18</v>
      </c>
    </row>
    <row r="151" spans="1:14" x14ac:dyDescent="0.3">
      <c r="A151">
        <v>12728</v>
      </c>
      <c r="B151" t="s">
        <v>37</v>
      </c>
      <c r="C151" t="s">
        <v>39</v>
      </c>
      <c r="D151" s="6">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6">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39</v>
      </c>
      <c r="D153" s="6">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6">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39</v>
      </c>
      <c r="D155" s="6">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39</v>
      </c>
      <c r="D156" s="6">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6">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38</v>
      </c>
      <c r="D158" s="6">
        <v>130000</v>
      </c>
      <c r="E158">
        <v>5</v>
      </c>
      <c r="F158" t="s">
        <v>19</v>
      </c>
      <c r="G158" t="s">
        <v>21</v>
      </c>
      <c r="H158" t="s">
        <v>15</v>
      </c>
      <c r="I158">
        <v>4</v>
      </c>
      <c r="J158" t="s">
        <v>16</v>
      </c>
      <c r="K158" t="s">
        <v>17</v>
      </c>
      <c r="L158">
        <v>59</v>
      </c>
      <c r="M158" t="str">
        <f t="shared" si="2"/>
        <v>Old Aged</v>
      </c>
      <c r="N158" t="s">
        <v>18</v>
      </c>
    </row>
    <row r="159" spans="1:14" x14ac:dyDescent="0.3">
      <c r="A159">
        <v>23979</v>
      </c>
      <c r="B159" t="s">
        <v>37</v>
      </c>
      <c r="C159" t="s">
        <v>39</v>
      </c>
      <c r="D159" s="6">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38</v>
      </c>
      <c r="D160" s="6">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38</v>
      </c>
      <c r="D161" s="6">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6">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38</v>
      </c>
      <c r="D163" s="6">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6">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39</v>
      </c>
      <c r="D165" s="6">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39</v>
      </c>
      <c r="D166" s="6">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6">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6">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39</v>
      </c>
      <c r="D169" s="6">
        <v>100000</v>
      </c>
      <c r="E169">
        <v>0</v>
      </c>
      <c r="F169" t="s">
        <v>27</v>
      </c>
      <c r="G169" t="s">
        <v>28</v>
      </c>
      <c r="H169" t="s">
        <v>15</v>
      </c>
      <c r="I169">
        <v>3</v>
      </c>
      <c r="J169" t="s">
        <v>46</v>
      </c>
      <c r="K169" t="s">
        <v>24</v>
      </c>
      <c r="L169">
        <v>35</v>
      </c>
      <c r="M169" t="str">
        <f t="shared" si="2"/>
        <v>Middle Aged</v>
      </c>
      <c r="N169" t="s">
        <v>18</v>
      </c>
    </row>
    <row r="170" spans="1:14" x14ac:dyDescent="0.3">
      <c r="A170">
        <v>14058</v>
      </c>
      <c r="B170" t="s">
        <v>37</v>
      </c>
      <c r="C170" t="s">
        <v>39</v>
      </c>
      <c r="D170" s="6">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39</v>
      </c>
      <c r="D171" s="6">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38</v>
      </c>
      <c r="D172" s="6">
        <v>130000</v>
      </c>
      <c r="E172">
        <v>4</v>
      </c>
      <c r="F172" t="s">
        <v>19</v>
      </c>
      <c r="G172" t="s">
        <v>21</v>
      </c>
      <c r="H172" t="s">
        <v>15</v>
      </c>
      <c r="I172">
        <v>4</v>
      </c>
      <c r="J172" t="s">
        <v>23</v>
      </c>
      <c r="K172" t="s">
        <v>17</v>
      </c>
      <c r="L172">
        <v>61</v>
      </c>
      <c r="M172" t="str">
        <f t="shared" si="2"/>
        <v>Old Aged</v>
      </c>
      <c r="N172" t="s">
        <v>15</v>
      </c>
    </row>
    <row r="173" spans="1:14" x14ac:dyDescent="0.3">
      <c r="A173">
        <v>18144</v>
      </c>
      <c r="B173" t="s">
        <v>36</v>
      </c>
      <c r="C173" t="s">
        <v>38</v>
      </c>
      <c r="D173" s="6">
        <v>80000</v>
      </c>
      <c r="E173">
        <v>5</v>
      </c>
      <c r="F173" t="s">
        <v>13</v>
      </c>
      <c r="G173" t="s">
        <v>28</v>
      </c>
      <c r="H173" t="s">
        <v>15</v>
      </c>
      <c r="I173">
        <v>2</v>
      </c>
      <c r="J173" t="s">
        <v>22</v>
      </c>
      <c r="K173" t="s">
        <v>17</v>
      </c>
      <c r="L173">
        <v>61</v>
      </c>
      <c r="M173" t="str">
        <f t="shared" si="2"/>
        <v>Old Aged</v>
      </c>
      <c r="N173" t="s">
        <v>18</v>
      </c>
    </row>
    <row r="174" spans="1:14" x14ac:dyDescent="0.3">
      <c r="A174">
        <v>23963</v>
      </c>
      <c r="B174" t="s">
        <v>36</v>
      </c>
      <c r="C174" t="s">
        <v>39</v>
      </c>
      <c r="D174" s="6">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38</v>
      </c>
      <c r="D175" s="6">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6">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6">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38</v>
      </c>
      <c r="D178" s="6">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6">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39</v>
      </c>
      <c r="D180" s="6">
        <v>160000</v>
      </c>
      <c r="E180">
        <v>4</v>
      </c>
      <c r="F180" t="s">
        <v>19</v>
      </c>
      <c r="G180" t="s">
        <v>21</v>
      </c>
      <c r="H180" t="s">
        <v>18</v>
      </c>
      <c r="I180">
        <v>2</v>
      </c>
      <c r="J180" t="s">
        <v>46</v>
      </c>
      <c r="K180" t="s">
        <v>17</v>
      </c>
      <c r="L180">
        <v>55</v>
      </c>
      <c r="M180" t="str">
        <f t="shared" si="2"/>
        <v>Old Aged</v>
      </c>
      <c r="N180" t="s">
        <v>15</v>
      </c>
    </row>
    <row r="181" spans="1:14" x14ac:dyDescent="0.3">
      <c r="A181">
        <v>12212</v>
      </c>
      <c r="B181" t="s">
        <v>36</v>
      </c>
      <c r="C181" t="s">
        <v>38</v>
      </c>
      <c r="D181" s="6">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39</v>
      </c>
      <c r="D182" s="6">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38</v>
      </c>
      <c r="D183" s="6">
        <v>30000</v>
      </c>
      <c r="E183">
        <v>3</v>
      </c>
      <c r="F183" t="s">
        <v>19</v>
      </c>
      <c r="G183" t="s">
        <v>20</v>
      </c>
      <c r="H183" t="s">
        <v>18</v>
      </c>
      <c r="I183">
        <v>2</v>
      </c>
      <c r="J183" t="s">
        <v>26</v>
      </c>
      <c r="K183" t="s">
        <v>24</v>
      </c>
      <c r="L183">
        <v>55</v>
      </c>
      <c r="M183" t="str">
        <f t="shared" si="2"/>
        <v>Old Aged</v>
      </c>
      <c r="N183" t="s">
        <v>15</v>
      </c>
    </row>
    <row r="184" spans="1:14" x14ac:dyDescent="0.3">
      <c r="A184">
        <v>19445</v>
      </c>
      <c r="B184" t="s">
        <v>36</v>
      </c>
      <c r="C184" t="s">
        <v>38</v>
      </c>
      <c r="D184" s="6">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39</v>
      </c>
      <c r="D185" s="6">
        <v>40000</v>
      </c>
      <c r="E185">
        <v>2</v>
      </c>
      <c r="F185" t="s">
        <v>13</v>
      </c>
      <c r="G185" t="s">
        <v>28</v>
      </c>
      <c r="H185" t="s">
        <v>15</v>
      </c>
      <c r="I185">
        <v>2</v>
      </c>
      <c r="J185" t="s">
        <v>23</v>
      </c>
      <c r="K185" t="s">
        <v>24</v>
      </c>
      <c r="L185">
        <v>66</v>
      </c>
      <c r="M185" t="str">
        <f t="shared" si="2"/>
        <v>Old Aged</v>
      </c>
      <c r="N185" t="s">
        <v>15</v>
      </c>
    </row>
    <row r="186" spans="1:14" x14ac:dyDescent="0.3">
      <c r="A186">
        <v>28918</v>
      </c>
      <c r="B186" t="s">
        <v>36</v>
      </c>
      <c r="C186" t="s">
        <v>38</v>
      </c>
      <c r="D186" s="6">
        <v>130000</v>
      </c>
      <c r="E186">
        <v>4</v>
      </c>
      <c r="F186" t="s">
        <v>27</v>
      </c>
      <c r="G186" t="s">
        <v>28</v>
      </c>
      <c r="H186" t="s">
        <v>18</v>
      </c>
      <c r="I186">
        <v>4</v>
      </c>
      <c r="J186" t="s">
        <v>46</v>
      </c>
      <c r="K186" t="s">
        <v>17</v>
      </c>
      <c r="L186">
        <v>58</v>
      </c>
      <c r="M186" t="str">
        <f t="shared" si="2"/>
        <v>Old Aged</v>
      </c>
      <c r="N186" t="s">
        <v>18</v>
      </c>
    </row>
    <row r="187" spans="1:14" x14ac:dyDescent="0.3">
      <c r="A187">
        <v>15799</v>
      </c>
      <c r="B187" t="s">
        <v>36</v>
      </c>
      <c r="C187" t="s">
        <v>38</v>
      </c>
      <c r="D187" s="6">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38</v>
      </c>
      <c r="D188" s="6">
        <v>30000</v>
      </c>
      <c r="E188">
        <v>3</v>
      </c>
      <c r="F188" t="s">
        <v>27</v>
      </c>
      <c r="G188" t="s">
        <v>14</v>
      </c>
      <c r="H188" t="s">
        <v>18</v>
      </c>
      <c r="I188">
        <v>2</v>
      </c>
      <c r="J188" t="s">
        <v>26</v>
      </c>
      <c r="K188" t="s">
        <v>24</v>
      </c>
      <c r="L188">
        <v>56</v>
      </c>
      <c r="M188" t="str">
        <f t="shared" si="2"/>
        <v>Old Aged</v>
      </c>
      <c r="N188" t="s">
        <v>15</v>
      </c>
    </row>
    <row r="189" spans="1:14" x14ac:dyDescent="0.3">
      <c r="A189">
        <v>18151</v>
      </c>
      <c r="B189" t="s">
        <v>37</v>
      </c>
      <c r="C189" t="s">
        <v>39</v>
      </c>
      <c r="D189" s="6">
        <v>80000</v>
      </c>
      <c r="E189">
        <v>5</v>
      </c>
      <c r="F189" t="s">
        <v>19</v>
      </c>
      <c r="G189" t="s">
        <v>21</v>
      </c>
      <c r="H189" t="s">
        <v>18</v>
      </c>
      <c r="I189">
        <v>2</v>
      </c>
      <c r="J189" t="s">
        <v>46</v>
      </c>
      <c r="K189" t="s">
        <v>17</v>
      </c>
      <c r="L189">
        <v>59</v>
      </c>
      <c r="M189" t="str">
        <f t="shared" si="2"/>
        <v>Old Aged</v>
      </c>
      <c r="N189" t="s">
        <v>18</v>
      </c>
    </row>
    <row r="190" spans="1:14" x14ac:dyDescent="0.3">
      <c r="A190">
        <v>20606</v>
      </c>
      <c r="B190" t="s">
        <v>36</v>
      </c>
      <c r="C190" t="s">
        <v>38</v>
      </c>
      <c r="D190" s="6">
        <v>70000</v>
      </c>
      <c r="E190">
        <v>0</v>
      </c>
      <c r="F190" t="s">
        <v>13</v>
      </c>
      <c r="G190" t="s">
        <v>21</v>
      </c>
      <c r="H190" t="s">
        <v>15</v>
      </c>
      <c r="I190">
        <v>4</v>
      </c>
      <c r="J190" t="s">
        <v>46</v>
      </c>
      <c r="K190" t="s">
        <v>24</v>
      </c>
      <c r="L190">
        <v>32</v>
      </c>
      <c r="M190" t="str">
        <f t="shared" si="2"/>
        <v>Middle Aged</v>
      </c>
      <c r="N190" t="s">
        <v>15</v>
      </c>
    </row>
    <row r="191" spans="1:14" x14ac:dyDescent="0.3">
      <c r="A191">
        <v>19482</v>
      </c>
      <c r="B191" t="s">
        <v>36</v>
      </c>
      <c r="C191" t="s">
        <v>39</v>
      </c>
      <c r="D191" s="6">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39</v>
      </c>
      <c r="D192" s="6">
        <v>30000</v>
      </c>
      <c r="E192">
        <v>3</v>
      </c>
      <c r="F192" t="s">
        <v>27</v>
      </c>
      <c r="G192" t="s">
        <v>14</v>
      </c>
      <c r="H192" t="s">
        <v>15</v>
      </c>
      <c r="I192">
        <v>2</v>
      </c>
      <c r="J192" t="s">
        <v>23</v>
      </c>
      <c r="K192" t="s">
        <v>24</v>
      </c>
      <c r="L192">
        <v>55</v>
      </c>
      <c r="M192" t="str">
        <f t="shared" si="2"/>
        <v>Old Aged</v>
      </c>
      <c r="N192" t="s">
        <v>18</v>
      </c>
    </row>
    <row r="193" spans="1:14" x14ac:dyDescent="0.3">
      <c r="A193">
        <v>26944</v>
      </c>
      <c r="B193" t="s">
        <v>37</v>
      </c>
      <c r="C193" t="s">
        <v>39</v>
      </c>
      <c r="D193" s="6">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6">
        <v>80000</v>
      </c>
      <c r="E194">
        <v>5</v>
      </c>
      <c r="F194" t="s">
        <v>13</v>
      </c>
      <c r="G194" t="s">
        <v>28</v>
      </c>
      <c r="H194" t="s">
        <v>15</v>
      </c>
      <c r="I194">
        <v>2</v>
      </c>
      <c r="J194" t="s">
        <v>46</v>
      </c>
      <c r="K194" t="s">
        <v>17</v>
      </c>
      <c r="L194">
        <v>62</v>
      </c>
      <c r="M194" t="str">
        <f t="shared" si="2"/>
        <v>Old Aged</v>
      </c>
      <c r="N194" t="s">
        <v>18</v>
      </c>
    </row>
    <row r="195" spans="1:14" x14ac:dyDescent="0.3">
      <c r="A195">
        <v>26032</v>
      </c>
      <c r="B195" t="s">
        <v>36</v>
      </c>
      <c r="C195" t="s">
        <v>38</v>
      </c>
      <c r="D195" s="6">
        <v>70000</v>
      </c>
      <c r="E195">
        <v>5</v>
      </c>
      <c r="F195" t="s">
        <v>13</v>
      </c>
      <c r="G195" t="s">
        <v>21</v>
      </c>
      <c r="H195" t="s">
        <v>15</v>
      </c>
      <c r="I195">
        <v>4</v>
      </c>
      <c r="J195" t="s">
        <v>46</v>
      </c>
      <c r="K195" t="s">
        <v>24</v>
      </c>
      <c r="L195">
        <v>41</v>
      </c>
      <c r="M195" t="str">
        <f t="shared" ref="M195:M258" si="3">IF(L195 &gt; 54, "Old Aged", IF($L195 &gt;= 31,"Middle Aged", "Adolescent"))</f>
        <v>Middle Aged</v>
      </c>
      <c r="N195" t="s">
        <v>18</v>
      </c>
    </row>
    <row r="196" spans="1:14" x14ac:dyDescent="0.3">
      <c r="A196">
        <v>17843</v>
      </c>
      <c r="B196" t="s">
        <v>37</v>
      </c>
      <c r="C196" t="s">
        <v>38</v>
      </c>
      <c r="D196" s="6">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39</v>
      </c>
      <c r="D197" s="6">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6">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39</v>
      </c>
      <c r="D199" s="6">
        <v>60000</v>
      </c>
      <c r="E199">
        <v>2</v>
      </c>
      <c r="F199" t="s">
        <v>31</v>
      </c>
      <c r="G199" t="s">
        <v>28</v>
      </c>
      <c r="H199" t="s">
        <v>15</v>
      </c>
      <c r="I199">
        <v>1</v>
      </c>
      <c r="J199" t="s">
        <v>16</v>
      </c>
      <c r="K199" t="s">
        <v>24</v>
      </c>
      <c r="L199">
        <v>67</v>
      </c>
      <c r="M199" t="str">
        <f t="shared" si="3"/>
        <v>Old Aged</v>
      </c>
      <c r="N199" t="s">
        <v>15</v>
      </c>
    </row>
    <row r="200" spans="1:14" x14ac:dyDescent="0.3">
      <c r="A200">
        <v>15214</v>
      </c>
      <c r="B200" t="s">
        <v>37</v>
      </c>
      <c r="C200" t="s">
        <v>38</v>
      </c>
      <c r="D200" s="6">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39</v>
      </c>
      <c r="D201" s="6">
        <v>80000</v>
      </c>
      <c r="E201">
        <v>0</v>
      </c>
      <c r="F201" t="s">
        <v>13</v>
      </c>
      <c r="G201" t="s">
        <v>21</v>
      </c>
      <c r="H201" t="s">
        <v>18</v>
      </c>
      <c r="I201">
        <v>3</v>
      </c>
      <c r="J201" t="s">
        <v>46</v>
      </c>
      <c r="K201" t="s">
        <v>24</v>
      </c>
      <c r="L201">
        <v>33</v>
      </c>
      <c r="M201" t="str">
        <f t="shared" si="3"/>
        <v>Middle Aged</v>
      </c>
      <c r="N201" t="s">
        <v>15</v>
      </c>
    </row>
    <row r="202" spans="1:14" x14ac:dyDescent="0.3">
      <c r="A202">
        <v>24584</v>
      </c>
      <c r="B202" t="s">
        <v>37</v>
      </c>
      <c r="C202" t="s">
        <v>39</v>
      </c>
      <c r="D202" s="6">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39</v>
      </c>
      <c r="D203" s="6">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6">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6">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6">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39</v>
      </c>
      <c r="D207" s="6">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39</v>
      </c>
      <c r="D208" s="6">
        <v>90000</v>
      </c>
      <c r="E208">
        <v>5</v>
      </c>
      <c r="F208" t="s">
        <v>19</v>
      </c>
      <c r="G208" t="s">
        <v>21</v>
      </c>
      <c r="H208" t="s">
        <v>18</v>
      </c>
      <c r="I208">
        <v>2</v>
      </c>
      <c r="J208" t="s">
        <v>46</v>
      </c>
      <c r="K208" t="s">
        <v>17</v>
      </c>
      <c r="L208">
        <v>62</v>
      </c>
      <c r="M208" t="str">
        <f t="shared" si="3"/>
        <v>Old Aged</v>
      </c>
      <c r="N208" t="s">
        <v>18</v>
      </c>
    </row>
    <row r="209" spans="1:14" x14ac:dyDescent="0.3">
      <c r="A209">
        <v>28729</v>
      </c>
      <c r="B209" t="s">
        <v>37</v>
      </c>
      <c r="C209" t="s">
        <v>38</v>
      </c>
      <c r="D209" s="6">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6">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6">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38</v>
      </c>
      <c r="D212" s="6">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38</v>
      </c>
      <c r="D213" s="6">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6">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6">
        <v>70000</v>
      </c>
      <c r="E215">
        <v>0</v>
      </c>
      <c r="F215" t="s">
        <v>13</v>
      </c>
      <c r="G215" t="s">
        <v>21</v>
      </c>
      <c r="H215" t="s">
        <v>18</v>
      </c>
      <c r="I215">
        <v>4</v>
      </c>
      <c r="J215" t="s">
        <v>46</v>
      </c>
      <c r="K215" t="s">
        <v>24</v>
      </c>
      <c r="L215">
        <v>31</v>
      </c>
      <c r="M215" t="str">
        <f t="shared" si="3"/>
        <v>Middle Aged</v>
      </c>
      <c r="N215" t="s">
        <v>15</v>
      </c>
    </row>
    <row r="216" spans="1:14" x14ac:dyDescent="0.3">
      <c r="A216">
        <v>25553</v>
      </c>
      <c r="B216" t="s">
        <v>36</v>
      </c>
      <c r="C216" t="s">
        <v>39</v>
      </c>
      <c r="D216" s="6">
        <v>30000</v>
      </c>
      <c r="E216">
        <v>1</v>
      </c>
      <c r="F216" t="s">
        <v>13</v>
      </c>
      <c r="G216" t="s">
        <v>20</v>
      </c>
      <c r="H216" t="s">
        <v>15</v>
      </c>
      <c r="I216">
        <v>0</v>
      </c>
      <c r="J216" t="s">
        <v>16</v>
      </c>
      <c r="K216" t="s">
        <v>17</v>
      </c>
      <c r="L216">
        <v>65</v>
      </c>
      <c r="M216" t="str">
        <f t="shared" si="3"/>
        <v>Old Aged</v>
      </c>
      <c r="N216" t="s">
        <v>15</v>
      </c>
    </row>
    <row r="217" spans="1:14" x14ac:dyDescent="0.3">
      <c r="A217">
        <v>27951</v>
      </c>
      <c r="B217" t="s">
        <v>37</v>
      </c>
      <c r="C217" t="s">
        <v>39</v>
      </c>
      <c r="D217" s="6">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39</v>
      </c>
      <c r="D218" s="6">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38</v>
      </c>
      <c r="D219" s="6">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6">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39</v>
      </c>
      <c r="D221" s="6">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6">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39</v>
      </c>
      <c r="D223" s="6">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38</v>
      </c>
      <c r="D224" s="6">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6">
        <v>70000</v>
      </c>
      <c r="E225">
        <v>5</v>
      </c>
      <c r="F225" t="s">
        <v>13</v>
      </c>
      <c r="G225" t="s">
        <v>21</v>
      </c>
      <c r="H225" t="s">
        <v>15</v>
      </c>
      <c r="I225">
        <v>4</v>
      </c>
      <c r="J225" t="s">
        <v>46</v>
      </c>
      <c r="K225" t="s">
        <v>24</v>
      </c>
      <c r="L225">
        <v>39</v>
      </c>
      <c r="M225" t="str">
        <f t="shared" si="3"/>
        <v>Middle Aged</v>
      </c>
      <c r="N225" t="s">
        <v>18</v>
      </c>
    </row>
    <row r="226" spans="1:14" x14ac:dyDescent="0.3">
      <c r="A226">
        <v>19650</v>
      </c>
      <c r="B226" t="s">
        <v>36</v>
      </c>
      <c r="C226" t="s">
        <v>38</v>
      </c>
      <c r="D226" s="6">
        <v>30000</v>
      </c>
      <c r="E226">
        <v>2</v>
      </c>
      <c r="F226" t="s">
        <v>19</v>
      </c>
      <c r="G226" t="s">
        <v>20</v>
      </c>
      <c r="H226" t="s">
        <v>18</v>
      </c>
      <c r="I226">
        <v>2</v>
      </c>
      <c r="J226" t="s">
        <v>16</v>
      </c>
      <c r="K226" t="s">
        <v>24</v>
      </c>
      <c r="L226">
        <v>67</v>
      </c>
      <c r="M226" t="str">
        <f t="shared" si="3"/>
        <v>Old Aged</v>
      </c>
      <c r="N226" t="s">
        <v>18</v>
      </c>
    </row>
    <row r="227" spans="1:14" x14ac:dyDescent="0.3">
      <c r="A227">
        <v>14135</v>
      </c>
      <c r="B227" t="s">
        <v>36</v>
      </c>
      <c r="C227" t="s">
        <v>39</v>
      </c>
      <c r="D227" s="6">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6">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39</v>
      </c>
      <c r="D229" s="6">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38</v>
      </c>
      <c r="D230" s="6">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39</v>
      </c>
      <c r="D231" s="6">
        <v>80000</v>
      </c>
      <c r="E231">
        <v>5</v>
      </c>
      <c r="F231" t="s">
        <v>27</v>
      </c>
      <c r="G231" t="s">
        <v>28</v>
      </c>
      <c r="H231" t="s">
        <v>15</v>
      </c>
      <c r="I231">
        <v>3</v>
      </c>
      <c r="J231" t="s">
        <v>46</v>
      </c>
      <c r="K231" t="s">
        <v>17</v>
      </c>
      <c r="L231">
        <v>57</v>
      </c>
      <c r="M231" t="str">
        <f t="shared" si="3"/>
        <v>Old Aged</v>
      </c>
      <c r="N231" t="s">
        <v>18</v>
      </c>
    </row>
    <row r="232" spans="1:14" x14ac:dyDescent="0.3">
      <c r="A232">
        <v>22830</v>
      </c>
      <c r="B232" t="s">
        <v>36</v>
      </c>
      <c r="C232" t="s">
        <v>39</v>
      </c>
      <c r="D232" s="6">
        <v>120000</v>
      </c>
      <c r="E232">
        <v>4</v>
      </c>
      <c r="F232" t="s">
        <v>19</v>
      </c>
      <c r="G232" t="s">
        <v>28</v>
      </c>
      <c r="H232" t="s">
        <v>15</v>
      </c>
      <c r="I232">
        <v>3</v>
      </c>
      <c r="J232" t="s">
        <v>46</v>
      </c>
      <c r="K232" t="s">
        <v>17</v>
      </c>
      <c r="L232">
        <v>56</v>
      </c>
      <c r="M232" t="str">
        <f t="shared" si="3"/>
        <v>Old Aged</v>
      </c>
      <c r="N232" t="s">
        <v>18</v>
      </c>
    </row>
    <row r="233" spans="1:14" x14ac:dyDescent="0.3">
      <c r="A233">
        <v>14777</v>
      </c>
      <c r="B233" t="s">
        <v>36</v>
      </c>
      <c r="C233" t="s">
        <v>38</v>
      </c>
      <c r="D233" s="6">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38</v>
      </c>
      <c r="D234" s="6">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39</v>
      </c>
      <c r="D235" s="6">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6">
        <v>90000</v>
      </c>
      <c r="E236">
        <v>0</v>
      </c>
      <c r="F236" t="s">
        <v>13</v>
      </c>
      <c r="G236" t="s">
        <v>21</v>
      </c>
      <c r="H236" t="s">
        <v>18</v>
      </c>
      <c r="I236">
        <v>4</v>
      </c>
      <c r="J236" t="s">
        <v>46</v>
      </c>
      <c r="K236" t="s">
        <v>24</v>
      </c>
      <c r="L236">
        <v>35</v>
      </c>
      <c r="M236" t="str">
        <f t="shared" si="3"/>
        <v>Middle Aged</v>
      </c>
      <c r="N236" t="s">
        <v>15</v>
      </c>
    </row>
    <row r="237" spans="1:14" x14ac:dyDescent="0.3">
      <c r="A237">
        <v>11340</v>
      </c>
      <c r="B237" t="s">
        <v>36</v>
      </c>
      <c r="C237" t="s">
        <v>38</v>
      </c>
      <c r="D237" s="6">
        <v>10000</v>
      </c>
      <c r="E237">
        <v>1</v>
      </c>
      <c r="F237" t="s">
        <v>31</v>
      </c>
      <c r="G237" t="s">
        <v>20</v>
      </c>
      <c r="H237" t="s">
        <v>15</v>
      </c>
      <c r="I237">
        <v>0</v>
      </c>
      <c r="J237" t="s">
        <v>16</v>
      </c>
      <c r="K237" t="s">
        <v>17</v>
      </c>
      <c r="L237">
        <v>70</v>
      </c>
      <c r="M237" t="str">
        <f t="shared" si="3"/>
        <v>Old Aged</v>
      </c>
      <c r="N237" t="s">
        <v>15</v>
      </c>
    </row>
    <row r="238" spans="1:14" x14ac:dyDescent="0.3">
      <c r="A238">
        <v>25693</v>
      </c>
      <c r="B238" t="s">
        <v>37</v>
      </c>
      <c r="C238" t="s">
        <v>38</v>
      </c>
      <c r="D238" s="6">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38</v>
      </c>
      <c r="D239" s="6">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6">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6">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39</v>
      </c>
      <c r="D242" s="6">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6">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6">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6">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6">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39</v>
      </c>
      <c r="D247" s="6">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38</v>
      </c>
      <c r="D248" s="6">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38</v>
      </c>
      <c r="D249" s="6">
        <v>100000</v>
      </c>
      <c r="E249">
        <v>0</v>
      </c>
      <c r="F249" t="s">
        <v>27</v>
      </c>
      <c r="G249" t="s">
        <v>28</v>
      </c>
      <c r="H249" t="s">
        <v>15</v>
      </c>
      <c r="I249">
        <v>4</v>
      </c>
      <c r="J249" t="s">
        <v>46</v>
      </c>
      <c r="K249" t="s">
        <v>24</v>
      </c>
      <c r="L249">
        <v>34</v>
      </c>
      <c r="M249" t="str">
        <f t="shared" si="3"/>
        <v>Middle Aged</v>
      </c>
      <c r="N249" t="s">
        <v>15</v>
      </c>
    </row>
    <row r="250" spans="1:14" x14ac:dyDescent="0.3">
      <c r="A250">
        <v>13981</v>
      </c>
      <c r="B250" t="s">
        <v>36</v>
      </c>
      <c r="C250" t="s">
        <v>38</v>
      </c>
      <c r="D250" s="6">
        <v>10000</v>
      </c>
      <c r="E250">
        <v>5</v>
      </c>
      <c r="F250" t="s">
        <v>27</v>
      </c>
      <c r="G250" t="s">
        <v>14</v>
      </c>
      <c r="H250" t="s">
        <v>18</v>
      </c>
      <c r="I250">
        <v>3</v>
      </c>
      <c r="J250" t="s">
        <v>26</v>
      </c>
      <c r="K250" t="s">
        <v>24</v>
      </c>
      <c r="L250">
        <v>62</v>
      </c>
      <c r="M250" t="str">
        <f t="shared" si="3"/>
        <v>Old Aged</v>
      </c>
      <c r="N250" t="s">
        <v>18</v>
      </c>
    </row>
    <row r="251" spans="1:14" x14ac:dyDescent="0.3">
      <c r="A251">
        <v>23432</v>
      </c>
      <c r="B251" t="s">
        <v>37</v>
      </c>
      <c r="C251" t="s">
        <v>39</v>
      </c>
      <c r="D251" s="6">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39</v>
      </c>
      <c r="D252" s="6">
        <v>100000</v>
      </c>
      <c r="E252">
        <v>5</v>
      </c>
      <c r="F252" t="s">
        <v>31</v>
      </c>
      <c r="G252" t="s">
        <v>28</v>
      </c>
      <c r="H252" t="s">
        <v>18</v>
      </c>
      <c r="I252">
        <v>1</v>
      </c>
      <c r="J252" t="s">
        <v>26</v>
      </c>
      <c r="K252" t="s">
        <v>24</v>
      </c>
      <c r="L252">
        <v>78</v>
      </c>
      <c r="M252" t="str">
        <f t="shared" si="3"/>
        <v>Old Aged</v>
      </c>
      <c r="N252" t="s">
        <v>15</v>
      </c>
    </row>
    <row r="253" spans="1:14" x14ac:dyDescent="0.3">
      <c r="A253">
        <v>18172</v>
      </c>
      <c r="B253" t="s">
        <v>36</v>
      </c>
      <c r="C253" t="s">
        <v>39</v>
      </c>
      <c r="D253" s="6">
        <v>130000</v>
      </c>
      <c r="E253">
        <v>4</v>
      </c>
      <c r="F253" t="s">
        <v>27</v>
      </c>
      <c r="G253" t="s">
        <v>21</v>
      </c>
      <c r="H253" t="s">
        <v>15</v>
      </c>
      <c r="I253">
        <v>3</v>
      </c>
      <c r="J253" t="s">
        <v>16</v>
      </c>
      <c r="K253" t="s">
        <v>17</v>
      </c>
      <c r="L253">
        <v>55</v>
      </c>
      <c r="M253" t="str">
        <f t="shared" si="3"/>
        <v>Old Aged</v>
      </c>
      <c r="N253" t="s">
        <v>18</v>
      </c>
    </row>
    <row r="254" spans="1:14" x14ac:dyDescent="0.3">
      <c r="A254">
        <v>12666</v>
      </c>
      <c r="B254" t="s">
        <v>37</v>
      </c>
      <c r="C254" t="s">
        <v>39</v>
      </c>
      <c r="D254" s="6">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39</v>
      </c>
      <c r="D255" s="6">
        <v>100000</v>
      </c>
      <c r="E255">
        <v>3</v>
      </c>
      <c r="F255" t="s">
        <v>29</v>
      </c>
      <c r="G255" t="s">
        <v>21</v>
      </c>
      <c r="H255" t="s">
        <v>15</v>
      </c>
      <c r="I255">
        <v>0</v>
      </c>
      <c r="J255" t="s">
        <v>46</v>
      </c>
      <c r="K255" t="s">
        <v>17</v>
      </c>
      <c r="L255">
        <v>59</v>
      </c>
      <c r="M255" t="str">
        <f t="shared" si="3"/>
        <v>Old Aged</v>
      </c>
      <c r="N255" t="s">
        <v>15</v>
      </c>
    </row>
    <row r="256" spans="1:14" x14ac:dyDescent="0.3">
      <c r="A256">
        <v>21375</v>
      </c>
      <c r="B256" t="s">
        <v>37</v>
      </c>
      <c r="C256" t="s">
        <v>39</v>
      </c>
      <c r="D256" s="6">
        <v>20000</v>
      </c>
      <c r="E256">
        <v>2</v>
      </c>
      <c r="F256" t="s">
        <v>29</v>
      </c>
      <c r="G256" t="s">
        <v>20</v>
      </c>
      <c r="H256" t="s">
        <v>15</v>
      </c>
      <c r="I256">
        <v>2</v>
      </c>
      <c r="J256" t="s">
        <v>23</v>
      </c>
      <c r="K256" t="s">
        <v>24</v>
      </c>
      <c r="L256">
        <v>57</v>
      </c>
      <c r="M256" t="str">
        <f t="shared" si="3"/>
        <v>Old Aged</v>
      </c>
      <c r="N256" t="s">
        <v>18</v>
      </c>
    </row>
    <row r="257" spans="1:14" x14ac:dyDescent="0.3">
      <c r="A257">
        <v>20839</v>
      </c>
      <c r="B257" t="s">
        <v>37</v>
      </c>
      <c r="C257" t="s">
        <v>38</v>
      </c>
      <c r="D257" s="6">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39</v>
      </c>
      <c r="D258" s="6">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6">
        <v>50000</v>
      </c>
      <c r="E259">
        <v>0</v>
      </c>
      <c r="F259" t="s">
        <v>31</v>
      </c>
      <c r="G259" t="s">
        <v>14</v>
      </c>
      <c r="H259" t="s">
        <v>15</v>
      </c>
      <c r="I259">
        <v>0</v>
      </c>
      <c r="J259" t="s">
        <v>16</v>
      </c>
      <c r="K259" t="s">
        <v>17</v>
      </c>
      <c r="L259">
        <v>36</v>
      </c>
      <c r="M259" t="str">
        <f t="shared" ref="M259:M322" si="4">IF(L259 &gt; 54, "Old Aged", IF($L259 &gt;= 31,"Middle Aged", "Adolescent"))</f>
        <v>Middle Aged</v>
      </c>
      <c r="N259" t="s">
        <v>15</v>
      </c>
    </row>
    <row r="260" spans="1:14" x14ac:dyDescent="0.3">
      <c r="A260">
        <v>14193</v>
      </c>
      <c r="B260" t="s">
        <v>37</v>
      </c>
      <c r="C260" t="s">
        <v>38</v>
      </c>
      <c r="D260" s="6">
        <v>100000</v>
      </c>
      <c r="E260">
        <v>3</v>
      </c>
      <c r="F260" t="s">
        <v>19</v>
      </c>
      <c r="G260" t="s">
        <v>28</v>
      </c>
      <c r="H260" t="s">
        <v>15</v>
      </c>
      <c r="I260">
        <v>4</v>
      </c>
      <c r="J260" t="s">
        <v>46</v>
      </c>
      <c r="K260" t="s">
        <v>17</v>
      </c>
      <c r="L260">
        <v>56</v>
      </c>
      <c r="M260" t="str">
        <f t="shared" si="4"/>
        <v>Old Aged</v>
      </c>
      <c r="N260" t="s">
        <v>18</v>
      </c>
    </row>
    <row r="261" spans="1:14" x14ac:dyDescent="0.3">
      <c r="A261">
        <v>12705</v>
      </c>
      <c r="B261" t="s">
        <v>36</v>
      </c>
      <c r="C261" t="s">
        <v>39</v>
      </c>
      <c r="D261" s="6">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6">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38</v>
      </c>
      <c r="D263" s="6">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38</v>
      </c>
      <c r="D264" s="6">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38</v>
      </c>
      <c r="D265" s="6">
        <v>70000</v>
      </c>
      <c r="E265">
        <v>5</v>
      </c>
      <c r="F265" t="s">
        <v>13</v>
      </c>
      <c r="G265" t="s">
        <v>21</v>
      </c>
      <c r="H265" t="s">
        <v>15</v>
      </c>
      <c r="I265">
        <v>3</v>
      </c>
      <c r="J265" t="s">
        <v>46</v>
      </c>
      <c r="K265" t="s">
        <v>24</v>
      </c>
      <c r="L265">
        <v>39</v>
      </c>
      <c r="M265" t="str">
        <f t="shared" si="4"/>
        <v>Middle Aged</v>
      </c>
      <c r="N265" t="s">
        <v>18</v>
      </c>
    </row>
    <row r="266" spans="1:14" x14ac:dyDescent="0.3">
      <c r="A266">
        <v>17964</v>
      </c>
      <c r="B266" t="s">
        <v>36</v>
      </c>
      <c r="C266" t="s">
        <v>39</v>
      </c>
      <c r="D266" s="6">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6">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6">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6">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39</v>
      </c>
      <c r="D270" s="6">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6">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6">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38</v>
      </c>
      <c r="D273" s="6">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6">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6">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6">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38</v>
      </c>
      <c r="D277" s="6">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38</v>
      </c>
      <c r="D278" s="6">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38</v>
      </c>
      <c r="D279" s="6">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39</v>
      </c>
      <c r="D280" s="6">
        <v>100000</v>
      </c>
      <c r="E280">
        <v>0</v>
      </c>
      <c r="F280" t="s">
        <v>27</v>
      </c>
      <c r="G280" t="s">
        <v>28</v>
      </c>
      <c r="H280" t="s">
        <v>15</v>
      </c>
      <c r="I280">
        <v>3</v>
      </c>
      <c r="J280" t="s">
        <v>46</v>
      </c>
      <c r="K280" t="s">
        <v>24</v>
      </c>
      <c r="L280">
        <v>35</v>
      </c>
      <c r="M280" t="str">
        <f t="shared" si="4"/>
        <v>Middle Aged</v>
      </c>
      <c r="N280" t="s">
        <v>15</v>
      </c>
    </row>
    <row r="281" spans="1:14" x14ac:dyDescent="0.3">
      <c r="A281">
        <v>16390</v>
      </c>
      <c r="B281" t="s">
        <v>37</v>
      </c>
      <c r="C281" t="s">
        <v>39</v>
      </c>
      <c r="D281" s="6">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6">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39</v>
      </c>
      <c r="D283" s="6">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39</v>
      </c>
      <c r="D284" s="6">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38</v>
      </c>
      <c r="D285" s="6">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39</v>
      </c>
      <c r="D286" s="6">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38</v>
      </c>
      <c r="D287" s="6">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6">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6">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39</v>
      </c>
      <c r="D290" s="6">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39</v>
      </c>
      <c r="D291" s="6">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38</v>
      </c>
      <c r="D292" s="6">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39</v>
      </c>
      <c r="D293" s="6">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38</v>
      </c>
      <c r="D294" s="6">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6">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39</v>
      </c>
      <c r="D296" s="6">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6">
        <v>110000</v>
      </c>
      <c r="E297">
        <v>0</v>
      </c>
      <c r="F297" t="s">
        <v>19</v>
      </c>
      <c r="G297" t="s">
        <v>28</v>
      </c>
      <c r="H297" t="s">
        <v>15</v>
      </c>
      <c r="I297">
        <v>3</v>
      </c>
      <c r="J297" t="s">
        <v>46</v>
      </c>
      <c r="K297" t="s">
        <v>24</v>
      </c>
      <c r="L297">
        <v>32</v>
      </c>
      <c r="M297" t="str">
        <f t="shared" si="4"/>
        <v>Middle Aged</v>
      </c>
      <c r="N297" t="s">
        <v>15</v>
      </c>
    </row>
    <row r="298" spans="1:14" x14ac:dyDescent="0.3">
      <c r="A298">
        <v>26663</v>
      </c>
      <c r="B298" t="s">
        <v>37</v>
      </c>
      <c r="C298" t="s">
        <v>38</v>
      </c>
      <c r="D298" s="6">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39</v>
      </c>
      <c r="D299" s="6">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38</v>
      </c>
      <c r="D300" s="6">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38</v>
      </c>
      <c r="D301" s="6">
        <v>30000</v>
      </c>
      <c r="E301">
        <v>2</v>
      </c>
      <c r="F301" t="s">
        <v>19</v>
      </c>
      <c r="G301" t="s">
        <v>20</v>
      </c>
      <c r="H301" t="s">
        <v>18</v>
      </c>
      <c r="I301">
        <v>2</v>
      </c>
      <c r="J301" t="s">
        <v>23</v>
      </c>
      <c r="K301" t="s">
        <v>24</v>
      </c>
      <c r="L301">
        <v>69</v>
      </c>
      <c r="M301" t="str">
        <f t="shared" si="4"/>
        <v>Old Aged</v>
      </c>
      <c r="N301" t="s">
        <v>18</v>
      </c>
    </row>
    <row r="302" spans="1:14" x14ac:dyDescent="0.3">
      <c r="A302">
        <v>25906</v>
      </c>
      <c r="B302" t="s">
        <v>37</v>
      </c>
      <c r="C302" t="s">
        <v>38</v>
      </c>
      <c r="D302" s="6">
        <v>10000</v>
      </c>
      <c r="E302">
        <v>5</v>
      </c>
      <c r="F302" t="s">
        <v>27</v>
      </c>
      <c r="G302" t="s">
        <v>14</v>
      </c>
      <c r="H302" t="s">
        <v>18</v>
      </c>
      <c r="I302">
        <v>2</v>
      </c>
      <c r="J302" t="s">
        <v>26</v>
      </c>
      <c r="K302" t="s">
        <v>24</v>
      </c>
      <c r="L302">
        <v>62</v>
      </c>
      <c r="M302" t="str">
        <f t="shared" si="4"/>
        <v>Old Aged</v>
      </c>
      <c r="N302" t="s">
        <v>18</v>
      </c>
    </row>
    <row r="303" spans="1:14" x14ac:dyDescent="0.3">
      <c r="A303">
        <v>17926</v>
      </c>
      <c r="B303" t="s">
        <v>37</v>
      </c>
      <c r="C303" t="s">
        <v>38</v>
      </c>
      <c r="D303" s="6">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6">
        <v>30000</v>
      </c>
      <c r="E304">
        <v>1</v>
      </c>
      <c r="F304" t="s">
        <v>13</v>
      </c>
      <c r="G304" t="s">
        <v>20</v>
      </c>
      <c r="H304" t="s">
        <v>15</v>
      </c>
      <c r="I304">
        <v>0</v>
      </c>
      <c r="J304" t="s">
        <v>16</v>
      </c>
      <c r="K304" t="s">
        <v>17</v>
      </c>
      <c r="L304">
        <v>62</v>
      </c>
      <c r="M304" t="str">
        <f t="shared" si="4"/>
        <v>Old Aged</v>
      </c>
      <c r="N304" t="s">
        <v>15</v>
      </c>
    </row>
    <row r="305" spans="1:14" x14ac:dyDescent="0.3">
      <c r="A305">
        <v>20897</v>
      </c>
      <c r="B305" t="s">
        <v>36</v>
      </c>
      <c r="C305" t="s">
        <v>38</v>
      </c>
      <c r="D305" s="6">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39</v>
      </c>
      <c r="D306" s="6">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39</v>
      </c>
      <c r="D307" s="6">
        <v>10000</v>
      </c>
      <c r="E307">
        <v>2</v>
      </c>
      <c r="F307" t="s">
        <v>29</v>
      </c>
      <c r="G307" t="s">
        <v>20</v>
      </c>
      <c r="H307" t="s">
        <v>15</v>
      </c>
      <c r="I307">
        <v>2</v>
      </c>
      <c r="J307" t="s">
        <v>23</v>
      </c>
      <c r="K307" t="s">
        <v>24</v>
      </c>
      <c r="L307">
        <v>58</v>
      </c>
      <c r="M307" t="str">
        <f t="shared" si="4"/>
        <v>Old Aged</v>
      </c>
      <c r="N307" t="s">
        <v>18</v>
      </c>
    </row>
    <row r="308" spans="1:14" x14ac:dyDescent="0.3">
      <c r="A308">
        <v>11000</v>
      </c>
      <c r="B308" t="s">
        <v>36</v>
      </c>
      <c r="C308" t="s">
        <v>39</v>
      </c>
      <c r="D308" s="6">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39</v>
      </c>
      <c r="D309" s="6">
        <v>10000</v>
      </c>
      <c r="E309">
        <v>2</v>
      </c>
      <c r="F309" t="s">
        <v>13</v>
      </c>
      <c r="G309" t="s">
        <v>20</v>
      </c>
      <c r="H309" t="s">
        <v>15</v>
      </c>
      <c r="I309">
        <v>1</v>
      </c>
      <c r="J309" t="s">
        <v>16</v>
      </c>
      <c r="K309" t="s">
        <v>17</v>
      </c>
      <c r="L309">
        <v>66</v>
      </c>
      <c r="M309" t="str">
        <f t="shared" si="4"/>
        <v>Old Aged</v>
      </c>
      <c r="N309" t="s">
        <v>18</v>
      </c>
    </row>
    <row r="310" spans="1:14" x14ac:dyDescent="0.3">
      <c r="A310">
        <v>28758</v>
      </c>
      <c r="B310" t="s">
        <v>36</v>
      </c>
      <c r="C310" t="s">
        <v>39</v>
      </c>
      <c r="D310" s="6">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38</v>
      </c>
      <c r="D311" s="6">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39</v>
      </c>
      <c r="D312" s="6">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39</v>
      </c>
      <c r="D313" s="6">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39</v>
      </c>
      <c r="D314" s="6">
        <v>20000</v>
      </c>
      <c r="E314">
        <v>4</v>
      </c>
      <c r="F314" t="s">
        <v>27</v>
      </c>
      <c r="G314" t="s">
        <v>14</v>
      </c>
      <c r="H314" t="s">
        <v>15</v>
      </c>
      <c r="I314">
        <v>2</v>
      </c>
      <c r="J314" t="s">
        <v>23</v>
      </c>
      <c r="K314" t="s">
        <v>24</v>
      </c>
      <c r="L314">
        <v>58</v>
      </c>
      <c r="M314" t="str">
        <f t="shared" si="4"/>
        <v>Old Aged</v>
      </c>
      <c r="N314" t="s">
        <v>15</v>
      </c>
    </row>
    <row r="315" spans="1:14" x14ac:dyDescent="0.3">
      <c r="A315">
        <v>23105</v>
      </c>
      <c r="B315" t="s">
        <v>37</v>
      </c>
      <c r="C315" t="s">
        <v>39</v>
      </c>
      <c r="D315" s="6">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39</v>
      </c>
      <c r="D316" s="6">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39</v>
      </c>
      <c r="D317" s="6">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39</v>
      </c>
      <c r="D318" s="6">
        <v>50000</v>
      </c>
      <c r="E318">
        <v>2</v>
      </c>
      <c r="F318" t="s">
        <v>31</v>
      </c>
      <c r="G318" t="s">
        <v>28</v>
      </c>
      <c r="H318" t="s">
        <v>15</v>
      </c>
      <c r="I318">
        <v>1</v>
      </c>
      <c r="J318" t="s">
        <v>23</v>
      </c>
      <c r="K318" t="s">
        <v>24</v>
      </c>
      <c r="L318">
        <v>64</v>
      </c>
      <c r="M318" t="str">
        <f t="shared" si="4"/>
        <v>Old Aged</v>
      </c>
      <c r="N318" t="s">
        <v>15</v>
      </c>
    </row>
    <row r="319" spans="1:14" x14ac:dyDescent="0.3">
      <c r="A319">
        <v>14154</v>
      </c>
      <c r="B319" t="s">
        <v>36</v>
      </c>
      <c r="C319" t="s">
        <v>39</v>
      </c>
      <c r="D319" s="6">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39</v>
      </c>
      <c r="D320" s="6">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38</v>
      </c>
      <c r="D321" s="6">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39</v>
      </c>
      <c r="D322" s="6">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6">
        <v>160000</v>
      </c>
      <c r="E323">
        <v>0</v>
      </c>
      <c r="F323" t="s">
        <v>31</v>
      </c>
      <c r="G323" t="s">
        <v>28</v>
      </c>
      <c r="H323" t="s">
        <v>18</v>
      </c>
      <c r="I323">
        <v>3</v>
      </c>
      <c r="J323" t="s">
        <v>16</v>
      </c>
      <c r="K323" t="s">
        <v>24</v>
      </c>
      <c r="L323">
        <v>47</v>
      </c>
      <c r="M323" t="str">
        <f t="shared" ref="M323:M386" si="5">IF(L323 &gt; 54, "Old Aged", IF($L323 &gt;= 31,"Middle Aged", "Adolescent"))</f>
        <v>Middle Aged</v>
      </c>
      <c r="N323" t="s">
        <v>15</v>
      </c>
    </row>
    <row r="324" spans="1:14" x14ac:dyDescent="0.3">
      <c r="A324">
        <v>16410</v>
      </c>
      <c r="B324" t="s">
        <v>37</v>
      </c>
      <c r="C324" t="s">
        <v>38</v>
      </c>
      <c r="D324" s="6">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6">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39</v>
      </c>
      <c r="D326" s="6">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39</v>
      </c>
      <c r="D327" s="6">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38</v>
      </c>
      <c r="D328" s="6">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6">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39</v>
      </c>
      <c r="D330" s="6">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38</v>
      </c>
      <c r="D331" s="6">
        <v>90000</v>
      </c>
      <c r="E331">
        <v>5</v>
      </c>
      <c r="F331" t="s">
        <v>29</v>
      </c>
      <c r="G331" t="s">
        <v>14</v>
      </c>
      <c r="H331" t="s">
        <v>15</v>
      </c>
      <c r="I331">
        <v>2</v>
      </c>
      <c r="J331" t="s">
        <v>46</v>
      </c>
      <c r="K331" t="s">
        <v>17</v>
      </c>
      <c r="L331">
        <v>59</v>
      </c>
      <c r="M331" t="str">
        <f t="shared" si="5"/>
        <v>Old Aged</v>
      </c>
      <c r="N331" t="s">
        <v>18</v>
      </c>
    </row>
    <row r="332" spans="1:14" x14ac:dyDescent="0.3">
      <c r="A332">
        <v>24898</v>
      </c>
      <c r="B332" t="s">
        <v>37</v>
      </c>
      <c r="C332" t="s">
        <v>38</v>
      </c>
      <c r="D332" s="6">
        <v>80000</v>
      </c>
      <c r="E332">
        <v>0</v>
      </c>
      <c r="F332" t="s">
        <v>13</v>
      </c>
      <c r="G332" t="s">
        <v>21</v>
      </c>
      <c r="H332" t="s">
        <v>15</v>
      </c>
      <c r="I332">
        <v>3</v>
      </c>
      <c r="J332" t="s">
        <v>46</v>
      </c>
      <c r="K332" t="s">
        <v>24</v>
      </c>
      <c r="L332">
        <v>32</v>
      </c>
      <c r="M332" t="str">
        <f t="shared" si="5"/>
        <v>Middle Aged</v>
      </c>
      <c r="N332" t="s">
        <v>18</v>
      </c>
    </row>
    <row r="333" spans="1:14" x14ac:dyDescent="0.3">
      <c r="A333">
        <v>19508</v>
      </c>
      <c r="B333" t="s">
        <v>36</v>
      </c>
      <c r="C333" t="s">
        <v>39</v>
      </c>
      <c r="D333" s="6">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6">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39</v>
      </c>
      <c r="D335" s="6">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39</v>
      </c>
      <c r="D336" s="6">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39</v>
      </c>
      <c r="D337" s="6">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39</v>
      </c>
      <c r="D338" s="6">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39</v>
      </c>
      <c r="D339" s="6">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6">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39</v>
      </c>
      <c r="D341" s="6">
        <v>20000</v>
      </c>
      <c r="E341">
        <v>1</v>
      </c>
      <c r="F341" t="s">
        <v>13</v>
      </c>
      <c r="G341" t="s">
        <v>20</v>
      </c>
      <c r="H341" t="s">
        <v>15</v>
      </c>
      <c r="I341">
        <v>0</v>
      </c>
      <c r="J341" t="s">
        <v>16</v>
      </c>
      <c r="K341" t="s">
        <v>17</v>
      </c>
      <c r="L341">
        <v>66</v>
      </c>
      <c r="M341" t="str">
        <f t="shared" si="5"/>
        <v>Old Aged</v>
      </c>
      <c r="N341" t="s">
        <v>18</v>
      </c>
    </row>
    <row r="342" spans="1:14" x14ac:dyDescent="0.3">
      <c r="A342">
        <v>16468</v>
      </c>
      <c r="B342" t="s">
        <v>37</v>
      </c>
      <c r="C342" t="s">
        <v>39</v>
      </c>
      <c r="D342" s="6">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6">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39</v>
      </c>
      <c r="D344" s="6">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6">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39</v>
      </c>
      <c r="D346" s="6">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38</v>
      </c>
      <c r="D347" s="6">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39</v>
      </c>
      <c r="D348" s="6">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6">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39</v>
      </c>
      <c r="D350" s="6">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6">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6">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6">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38</v>
      </c>
      <c r="D354" s="6">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39</v>
      </c>
      <c r="D355" s="6">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39</v>
      </c>
      <c r="D356" s="6">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39</v>
      </c>
      <c r="D357" s="6">
        <v>80000</v>
      </c>
      <c r="E357">
        <v>0</v>
      </c>
      <c r="F357" t="s">
        <v>13</v>
      </c>
      <c r="G357" t="s">
        <v>21</v>
      </c>
      <c r="H357" t="s">
        <v>15</v>
      </c>
      <c r="I357">
        <v>3</v>
      </c>
      <c r="J357" t="s">
        <v>46</v>
      </c>
      <c r="K357" t="s">
        <v>24</v>
      </c>
      <c r="L357">
        <v>32</v>
      </c>
      <c r="M357" t="str">
        <f t="shared" si="5"/>
        <v>Middle Aged</v>
      </c>
      <c r="N357" t="s">
        <v>18</v>
      </c>
    </row>
    <row r="358" spans="1:14" x14ac:dyDescent="0.3">
      <c r="A358">
        <v>23608</v>
      </c>
      <c r="B358" t="s">
        <v>36</v>
      </c>
      <c r="C358" t="s">
        <v>38</v>
      </c>
      <c r="D358" s="6">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38</v>
      </c>
      <c r="D359" s="6">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39</v>
      </c>
      <c r="D360" s="6">
        <v>90000</v>
      </c>
      <c r="E360">
        <v>4</v>
      </c>
      <c r="F360" t="s">
        <v>27</v>
      </c>
      <c r="G360" t="s">
        <v>28</v>
      </c>
      <c r="H360" t="s">
        <v>15</v>
      </c>
      <c r="I360">
        <v>3</v>
      </c>
      <c r="J360" t="s">
        <v>23</v>
      </c>
      <c r="K360" t="s">
        <v>17</v>
      </c>
      <c r="L360">
        <v>58</v>
      </c>
      <c r="M360" t="str">
        <f t="shared" si="5"/>
        <v>Old Aged</v>
      </c>
      <c r="N360" t="s">
        <v>15</v>
      </c>
    </row>
    <row r="361" spans="1:14" x14ac:dyDescent="0.3">
      <c r="A361">
        <v>17230</v>
      </c>
      <c r="B361" t="s">
        <v>36</v>
      </c>
      <c r="C361" t="s">
        <v>39</v>
      </c>
      <c r="D361" s="6">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6">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6">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6">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38</v>
      </c>
      <c r="D365" s="6">
        <v>40000</v>
      </c>
      <c r="E365">
        <v>2</v>
      </c>
      <c r="F365" t="s">
        <v>13</v>
      </c>
      <c r="G365" t="s">
        <v>28</v>
      </c>
      <c r="H365" t="s">
        <v>15</v>
      </c>
      <c r="I365">
        <v>2</v>
      </c>
      <c r="J365" t="s">
        <v>16</v>
      </c>
      <c r="K365" t="s">
        <v>24</v>
      </c>
      <c r="L365">
        <v>66</v>
      </c>
      <c r="M365" t="str">
        <f t="shared" si="5"/>
        <v>Old Aged</v>
      </c>
      <c r="N365" t="s">
        <v>15</v>
      </c>
    </row>
    <row r="366" spans="1:14" x14ac:dyDescent="0.3">
      <c r="A366">
        <v>19305</v>
      </c>
      <c r="B366" t="s">
        <v>37</v>
      </c>
      <c r="C366" t="s">
        <v>38</v>
      </c>
      <c r="D366" s="6">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6">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39</v>
      </c>
      <c r="D368" s="6">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38</v>
      </c>
      <c r="D369" s="6">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38</v>
      </c>
      <c r="D370" s="6">
        <v>30000</v>
      </c>
      <c r="E370">
        <v>2</v>
      </c>
      <c r="F370" t="s">
        <v>19</v>
      </c>
      <c r="G370" t="s">
        <v>20</v>
      </c>
      <c r="H370" t="s">
        <v>18</v>
      </c>
      <c r="I370">
        <v>2</v>
      </c>
      <c r="J370" t="s">
        <v>23</v>
      </c>
      <c r="K370" t="s">
        <v>24</v>
      </c>
      <c r="L370">
        <v>60</v>
      </c>
      <c r="M370" t="str">
        <f t="shared" si="5"/>
        <v>Old Aged</v>
      </c>
      <c r="N370" t="s">
        <v>15</v>
      </c>
    </row>
    <row r="371" spans="1:14" x14ac:dyDescent="0.3">
      <c r="A371">
        <v>25752</v>
      </c>
      <c r="B371" t="s">
        <v>37</v>
      </c>
      <c r="C371" t="s">
        <v>38</v>
      </c>
      <c r="D371" s="6">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38</v>
      </c>
      <c r="D372" s="6">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39</v>
      </c>
      <c r="D373" s="6">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39</v>
      </c>
      <c r="D374" s="6">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39</v>
      </c>
      <c r="D375" s="6">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6">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38</v>
      </c>
      <c r="D377" s="6">
        <v>40000</v>
      </c>
      <c r="E377">
        <v>1</v>
      </c>
      <c r="F377" t="s">
        <v>13</v>
      </c>
      <c r="G377" t="s">
        <v>14</v>
      </c>
      <c r="H377" t="s">
        <v>15</v>
      </c>
      <c r="I377">
        <v>1</v>
      </c>
      <c r="J377" t="s">
        <v>16</v>
      </c>
      <c r="K377" t="s">
        <v>17</v>
      </c>
      <c r="L377">
        <v>89</v>
      </c>
      <c r="M377" t="str">
        <f t="shared" si="5"/>
        <v>Old Aged</v>
      </c>
      <c r="N377" t="s">
        <v>18</v>
      </c>
    </row>
    <row r="378" spans="1:14" x14ac:dyDescent="0.3">
      <c r="A378">
        <v>20977</v>
      </c>
      <c r="B378" t="s">
        <v>36</v>
      </c>
      <c r="C378" t="s">
        <v>39</v>
      </c>
      <c r="D378" s="6">
        <v>20000</v>
      </c>
      <c r="E378">
        <v>1</v>
      </c>
      <c r="F378" t="s">
        <v>13</v>
      </c>
      <c r="G378" t="s">
        <v>20</v>
      </c>
      <c r="H378" t="s">
        <v>15</v>
      </c>
      <c r="I378">
        <v>0</v>
      </c>
      <c r="J378" t="s">
        <v>16</v>
      </c>
      <c r="K378" t="s">
        <v>17</v>
      </c>
      <c r="L378">
        <v>64</v>
      </c>
      <c r="M378" t="str">
        <f t="shared" si="5"/>
        <v>Old Aged</v>
      </c>
      <c r="N378" t="s">
        <v>15</v>
      </c>
    </row>
    <row r="379" spans="1:14" x14ac:dyDescent="0.3">
      <c r="A379">
        <v>18140</v>
      </c>
      <c r="B379" t="s">
        <v>36</v>
      </c>
      <c r="C379" t="s">
        <v>39</v>
      </c>
      <c r="D379" s="6">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39</v>
      </c>
      <c r="D380" s="6">
        <v>30000</v>
      </c>
      <c r="E380">
        <v>3</v>
      </c>
      <c r="F380" t="s">
        <v>19</v>
      </c>
      <c r="G380" t="s">
        <v>20</v>
      </c>
      <c r="H380" t="s">
        <v>18</v>
      </c>
      <c r="I380">
        <v>2</v>
      </c>
      <c r="J380" t="s">
        <v>23</v>
      </c>
      <c r="K380" t="s">
        <v>24</v>
      </c>
      <c r="L380">
        <v>56</v>
      </c>
      <c r="M380" t="str">
        <f t="shared" si="5"/>
        <v>Old Aged</v>
      </c>
      <c r="N380" t="s">
        <v>18</v>
      </c>
    </row>
    <row r="381" spans="1:14" x14ac:dyDescent="0.3">
      <c r="A381">
        <v>18267</v>
      </c>
      <c r="B381" t="s">
        <v>36</v>
      </c>
      <c r="C381" t="s">
        <v>39</v>
      </c>
      <c r="D381" s="6">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39</v>
      </c>
      <c r="D382" s="6">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6">
        <v>30000</v>
      </c>
      <c r="E383">
        <v>2</v>
      </c>
      <c r="F383" t="s">
        <v>19</v>
      </c>
      <c r="G383" t="s">
        <v>20</v>
      </c>
      <c r="H383" t="s">
        <v>15</v>
      </c>
      <c r="I383">
        <v>2</v>
      </c>
      <c r="J383" t="s">
        <v>23</v>
      </c>
      <c r="K383" t="s">
        <v>24</v>
      </c>
      <c r="L383">
        <v>69</v>
      </c>
      <c r="M383" t="str">
        <f t="shared" si="5"/>
        <v>Old Aged</v>
      </c>
      <c r="N383" t="s">
        <v>18</v>
      </c>
    </row>
    <row r="384" spans="1:14" x14ac:dyDescent="0.3">
      <c r="A384">
        <v>13586</v>
      </c>
      <c r="B384" t="s">
        <v>36</v>
      </c>
      <c r="C384" t="s">
        <v>39</v>
      </c>
      <c r="D384" s="6">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39</v>
      </c>
      <c r="D385" s="6">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6">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6">
        <v>30000</v>
      </c>
      <c r="E387">
        <v>3</v>
      </c>
      <c r="F387" t="s">
        <v>19</v>
      </c>
      <c r="G387" t="s">
        <v>20</v>
      </c>
      <c r="H387" t="s">
        <v>15</v>
      </c>
      <c r="I387">
        <v>0</v>
      </c>
      <c r="J387" t="s">
        <v>16</v>
      </c>
      <c r="K387" t="s">
        <v>17</v>
      </c>
      <c r="L387">
        <v>43</v>
      </c>
      <c r="M387" t="str">
        <f t="shared" ref="M387:M450" si="6">IF(L387 &gt; 54, "Old Aged", IF($L387 &gt;= 31,"Middle Aged", "Adolescent"))</f>
        <v>Middle Aged</v>
      </c>
      <c r="N387" t="s">
        <v>18</v>
      </c>
    </row>
    <row r="388" spans="1:14" x14ac:dyDescent="0.3">
      <c r="A388">
        <v>28957</v>
      </c>
      <c r="B388" t="s">
        <v>37</v>
      </c>
      <c r="C388" t="s">
        <v>38</v>
      </c>
      <c r="D388" s="6">
        <v>120000</v>
      </c>
      <c r="E388">
        <v>0</v>
      </c>
      <c r="F388" t="s">
        <v>29</v>
      </c>
      <c r="G388" t="s">
        <v>21</v>
      </c>
      <c r="H388" t="s">
        <v>15</v>
      </c>
      <c r="I388">
        <v>4</v>
      </c>
      <c r="J388" t="s">
        <v>46</v>
      </c>
      <c r="K388" t="s">
        <v>24</v>
      </c>
      <c r="L388">
        <v>34</v>
      </c>
      <c r="M388" t="str">
        <f t="shared" si="6"/>
        <v>Middle Aged</v>
      </c>
      <c r="N388" t="s">
        <v>15</v>
      </c>
    </row>
    <row r="389" spans="1:14" x14ac:dyDescent="0.3">
      <c r="A389">
        <v>13690</v>
      </c>
      <c r="B389" t="s">
        <v>37</v>
      </c>
      <c r="C389" t="s">
        <v>38</v>
      </c>
      <c r="D389" s="6">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38</v>
      </c>
      <c r="D390" s="6">
        <v>30000</v>
      </c>
      <c r="E390">
        <v>1</v>
      </c>
      <c r="F390" t="s">
        <v>13</v>
      </c>
      <c r="G390" t="s">
        <v>20</v>
      </c>
      <c r="H390" t="s">
        <v>15</v>
      </c>
      <c r="I390">
        <v>0</v>
      </c>
      <c r="J390" t="s">
        <v>16</v>
      </c>
      <c r="K390" t="s">
        <v>17</v>
      </c>
      <c r="L390">
        <v>64</v>
      </c>
      <c r="M390" t="str">
        <f t="shared" si="6"/>
        <v>Old Aged</v>
      </c>
      <c r="N390" t="s">
        <v>18</v>
      </c>
    </row>
    <row r="391" spans="1:14" x14ac:dyDescent="0.3">
      <c r="A391">
        <v>13122</v>
      </c>
      <c r="B391" t="s">
        <v>36</v>
      </c>
      <c r="C391" t="s">
        <v>38</v>
      </c>
      <c r="D391" s="6">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39</v>
      </c>
      <c r="D392" s="6">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6">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39</v>
      </c>
      <c r="D394" s="6">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38</v>
      </c>
      <c r="D395" s="6">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38</v>
      </c>
      <c r="D396" s="6">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39</v>
      </c>
      <c r="D397" s="6">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39</v>
      </c>
      <c r="D398" s="6">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38</v>
      </c>
      <c r="D399" s="6">
        <v>10000</v>
      </c>
      <c r="E399">
        <v>2</v>
      </c>
      <c r="F399" t="s">
        <v>29</v>
      </c>
      <c r="G399" t="s">
        <v>20</v>
      </c>
      <c r="H399" t="s">
        <v>15</v>
      </c>
      <c r="I399">
        <v>2</v>
      </c>
      <c r="J399" t="s">
        <v>23</v>
      </c>
      <c r="K399" t="s">
        <v>24</v>
      </c>
      <c r="L399">
        <v>58</v>
      </c>
      <c r="M399" t="str">
        <f t="shared" si="6"/>
        <v>Old Aged</v>
      </c>
      <c r="N399" t="s">
        <v>18</v>
      </c>
    </row>
    <row r="400" spans="1:14" x14ac:dyDescent="0.3">
      <c r="A400">
        <v>27771</v>
      </c>
      <c r="B400" t="s">
        <v>37</v>
      </c>
      <c r="C400" t="s">
        <v>39</v>
      </c>
      <c r="D400" s="6">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6">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38</v>
      </c>
      <c r="D402" s="6">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38</v>
      </c>
      <c r="D403" s="6">
        <v>40000</v>
      </c>
      <c r="E403">
        <v>1</v>
      </c>
      <c r="F403" t="s">
        <v>13</v>
      </c>
      <c r="G403" t="s">
        <v>20</v>
      </c>
      <c r="H403" t="s">
        <v>15</v>
      </c>
      <c r="I403">
        <v>0</v>
      </c>
      <c r="J403" t="s">
        <v>16</v>
      </c>
      <c r="K403" t="s">
        <v>17</v>
      </c>
      <c r="L403">
        <v>80</v>
      </c>
      <c r="M403" t="str">
        <f t="shared" si="6"/>
        <v>Old Aged</v>
      </c>
      <c r="N403" t="s">
        <v>18</v>
      </c>
    </row>
    <row r="404" spans="1:14" x14ac:dyDescent="0.3">
      <c r="A404">
        <v>22381</v>
      </c>
      <c r="B404" t="s">
        <v>36</v>
      </c>
      <c r="C404" t="s">
        <v>39</v>
      </c>
      <c r="D404" s="6">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39</v>
      </c>
      <c r="D405" s="6">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39</v>
      </c>
      <c r="D406" s="6">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38</v>
      </c>
      <c r="D407" s="6">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38</v>
      </c>
      <c r="D408" s="6">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6">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6">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38</v>
      </c>
      <c r="D411" s="6">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38</v>
      </c>
      <c r="D412" s="6">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39</v>
      </c>
      <c r="D413" s="6">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39</v>
      </c>
      <c r="D414" s="6">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6">
        <v>30000</v>
      </c>
      <c r="E415">
        <v>2</v>
      </c>
      <c r="F415" t="s">
        <v>19</v>
      </c>
      <c r="G415" t="s">
        <v>20</v>
      </c>
      <c r="H415" t="s">
        <v>18</v>
      </c>
      <c r="I415">
        <v>2</v>
      </c>
      <c r="J415" t="s">
        <v>23</v>
      </c>
      <c r="K415" t="s">
        <v>24</v>
      </c>
      <c r="L415">
        <v>67</v>
      </c>
      <c r="M415" t="str">
        <f t="shared" si="6"/>
        <v>Old Aged</v>
      </c>
      <c r="N415" t="s">
        <v>18</v>
      </c>
    </row>
    <row r="416" spans="1:14" x14ac:dyDescent="0.3">
      <c r="A416">
        <v>17960</v>
      </c>
      <c r="B416" t="s">
        <v>36</v>
      </c>
      <c r="C416" t="s">
        <v>38</v>
      </c>
      <c r="D416" s="6">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38</v>
      </c>
      <c r="D417" s="6">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39</v>
      </c>
      <c r="D418" s="6">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6">
        <v>30000</v>
      </c>
      <c r="E419">
        <v>2</v>
      </c>
      <c r="F419" t="s">
        <v>19</v>
      </c>
      <c r="G419" t="s">
        <v>20</v>
      </c>
      <c r="H419" t="s">
        <v>18</v>
      </c>
      <c r="I419">
        <v>2</v>
      </c>
      <c r="J419" t="s">
        <v>23</v>
      </c>
      <c r="K419" t="s">
        <v>24</v>
      </c>
      <c r="L419">
        <v>67</v>
      </c>
      <c r="M419" t="str">
        <f t="shared" si="6"/>
        <v>Old Aged</v>
      </c>
      <c r="N419" t="s">
        <v>18</v>
      </c>
    </row>
    <row r="420" spans="1:14" x14ac:dyDescent="0.3">
      <c r="A420">
        <v>11576</v>
      </c>
      <c r="B420" t="s">
        <v>36</v>
      </c>
      <c r="C420" t="s">
        <v>39</v>
      </c>
      <c r="D420" s="6">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39</v>
      </c>
      <c r="D421" s="6">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38</v>
      </c>
      <c r="D422" s="6">
        <v>100000</v>
      </c>
      <c r="E422">
        <v>2</v>
      </c>
      <c r="F422" t="s">
        <v>13</v>
      </c>
      <c r="G422" t="s">
        <v>28</v>
      </c>
      <c r="H422" t="s">
        <v>15</v>
      </c>
      <c r="I422">
        <v>4</v>
      </c>
      <c r="J422" t="s">
        <v>46</v>
      </c>
      <c r="K422" t="s">
        <v>17</v>
      </c>
      <c r="L422">
        <v>59</v>
      </c>
      <c r="M422" t="str">
        <f t="shared" si="6"/>
        <v>Old Aged</v>
      </c>
      <c r="N422" t="s">
        <v>18</v>
      </c>
    </row>
    <row r="423" spans="1:14" x14ac:dyDescent="0.3">
      <c r="A423">
        <v>14547</v>
      </c>
      <c r="B423" t="s">
        <v>36</v>
      </c>
      <c r="C423" t="s">
        <v>39</v>
      </c>
      <c r="D423" s="6">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39</v>
      </c>
      <c r="D424" s="6">
        <v>110000</v>
      </c>
      <c r="E424">
        <v>0</v>
      </c>
      <c r="F424" t="s">
        <v>19</v>
      </c>
      <c r="G424" t="s">
        <v>28</v>
      </c>
      <c r="H424" t="s">
        <v>18</v>
      </c>
      <c r="I424">
        <v>3</v>
      </c>
      <c r="J424" t="s">
        <v>46</v>
      </c>
      <c r="K424" t="s">
        <v>24</v>
      </c>
      <c r="L424">
        <v>32</v>
      </c>
      <c r="M424" t="str">
        <f t="shared" si="6"/>
        <v>Middle Aged</v>
      </c>
      <c r="N424" t="s">
        <v>15</v>
      </c>
    </row>
    <row r="425" spans="1:14" x14ac:dyDescent="0.3">
      <c r="A425">
        <v>27169</v>
      </c>
      <c r="B425" t="s">
        <v>37</v>
      </c>
      <c r="C425" t="s">
        <v>39</v>
      </c>
      <c r="D425" s="6">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6">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39</v>
      </c>
      <c r="D427" s="6">
        <v>40000</v>
      </c>
      <c r="E427">
        <v>2</v>
      </c>
      <c r="F427" t="s">
        <v>13</v>
      </c>
      <c r="G427" t="s">
        <v>28</v>
      </c>
      <c r="H427" t="s">
        <v>15</v>
      </c>
      <c r="I427">
        <v>2</v>
      </c>
      <c r="J427" t="s">
        <v>16</v>
      </c>
      <c r="K427" t="s">
        <v>24</v>
      </c>
      <c r="L427">
        <v>67</v>
      </c>
      <c r="M427" t="str">
        <f t="shared" si="6"/>
        <v>Old Aged</v>
      </c>
      <c r="N427" t="s">
        <v>18</v>
      </c>
    </row>
    <row r="428" spans="1:14" x14ac:dyDescent="0.3">
      <c r="A428">
        <v>19389</v>
      </c>
      <c r="B428" t="s">
        <v>37</v>
      </c>
      <c r="C428" t="s">
        <v>39</v>
      </c>
      <c r="D428" s="6">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6">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39</v>
      </c>
      <c r="D430" s="6">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6">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6">
        <v>30000</v>
      </c>
      <c r="E432">
        <v>3</v>
      </c>
      <c r="F432" t="s">
        <v>27</v>
      </c>
      <c r="G432" t="s">
        <v>14</v>
      </c>
      <c r="H432" t="s">
        <v>15</v>
      </c>
      <c r="I432">
        <v>2</v>
      </c>
      <c r="J432" t="s">
        <v>23</v>
      </c>
      <c r="K432" t="s">
        <v>24</v>
      </c>
      <c r="L432">
        <v>55</v>
      </c>
      <c r="M432" t="str">
        <f t="shared" si="6"/>
        <v>Old Aged</v>
      </c>
      <c r="N432" t="s">
        <v>18</v>
      </c>
    </row>
    <row r="433" spans="1:14" x14ac:dyDescent="0.3">
      <c r="A433">
        <v>28488</v>
      </c>
      <c r="B433" t="s">
        <v>37</v>
      </c>
      <c r="C433" t="s">
        <v>39</v>
      </c>
      <c r="D433" s="6">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6">
        <v>110000</v>
      </c>
      <c r="E434">
        <v>0</v>
      </c>
      <c r="F434" t="s">
        <v>27</v>
      </c>
      <c r="G434" t="s">
        <v>28</v>
      </c>
      <c r="H434" t="s">
        <v>15</v>
      </c>
      <c r="I434">
        <v>3</v>
      </c>
      <c r="J434" t="s">
        <v>46</v>
      </c>
      <c r="K434" t="s">
        <v>24</v>
      </c>
      <c r="L434">
        <v>34</v>
      </c>
      <c r="M434" t="str">
        <f t="shared" si="6"/>
        <v>Middle Aged</v>
      </c>
      <c r="N434" t="s">
        <v>15</v>
      </c>
    </row>
    <row r="435" spans="1:14" x14ac:dyDescent="0.3">
      <c r="A435">
        <v>27814</v>
      </c>
      <c r="B435" t="s">
        <v>37</v>
      </c>
      <c r="C435" t="s">
        <v>38</v>
      </c>
      <c r="D435" s="6">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6">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38</v>
      </c>
      <c r="D437" s="6">
        <v>10000</v>
      </c>
      <c r="E437">
        <v>2</v>
      </c>
      <c r="F437" t="s">
        <v>13</v>
      </c>
      <c r="G437" t="s">
        <v>20</v>
      </c>
      <c r="H437" t="s">
        <v>18</v>
      </c>
      <c r="I437">
        <v>1</v>
      </c>
      <c r="J437" t="s">
        <v>22</v>
      </c>
      <c r="K437" t="s">
        <v>17</v>
      </c>
      <c r="L437">
        <v>68</v>
      </c>
      <c r="M437" t="str">
        <f t="shared" si="6"/>
        <v>Old Aged</v>
      </c>
      <c r="N437" t="s">
        <v>18</v>
      </c>
    </row>
    <row r="438" spans="1:14" x14ac:dyDescent="0.3">
      <c r="A438">
        <v>19784</v>
      </c>
      <c r="B438" t="s">
        <v>36</v>
      </c>
      <c r="C438" t="s">
        <v>38</v>
      </c>
      <c r="D438" s="6">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38</v>
      </c>
      <c r="D439" s="6">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6">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39</v>
      </c>
      <c r="D441" s="6">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39</v>
      </c>
      <c r="D442" s="6">
        <v>90000</v>
      </c>
      <c r="E442">
        <v>0</v>
      </c>
      <c r="F442" t="s">
        <v>13</v>
      </c>
      <c r="G442" t="s">
        <v>21</v>
      </c>
      <c r="H442" t="s">
        <v>18</v>
      </c>
      <c r="I442">
        <v>3</v>
      </c>
      <c r="J442" t="s">
        <v>46</v>
      </c>
      <c r="K442" t="s">
        <v>24</v>
      </c>
      <c r="L442">
        <v>34</v>
      </c>
      <c r="M442" t="str">
        <f t="shared" si="6"/>
        <v>Middle Aged</v>
      </c>
      <c r="N442" t="s">
        <v>15</v>
      </c>
    </row>
    <row r="443" spans="1:14" x14ac:dyDescent="0.3">
      <c r="A443">
        <v>11061</v>
      </c>
      <c r="B443" t="s">
        <v>36</v>
      </c>
      <c r="C443" t="s">
        <v>39</v>
      </c>
      <c r="D443" s="6">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39</v>
      </c>
      <c r="D444" s="6">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38</v>
      </c>
      <c r="D445" s="6">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39</v>
      </c>
      <c r="D446" s="6">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38</v>
      </c>
      <c r="D447" s="6">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38</v>
      </c>
      <c r="D448" s="6">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38</v>
      </c>
      <c r="D449" s="6">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38</v>
      </c>
      <c r="D450" s="6">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38</v>
      </c>
      <c r="D451" s="6">
        <v>40000</v>
      </c>
      <c r="E451">
        <v>1</v>
      </c>
      <c r="F451" t="s">
        <v>13</v>
      </c>
      <c r="G451" t="s">
        <v>14</v>
      </c>
      <c r="H451" t="s">
        <v>15</v>
      </c>
      <c r="I451">
        <v>0</v>
      </c>
      <c r="J451" t="s">
        <v>16</v>
      </c>
      <c r="K451" t="s">
        <v>17</v>
      </c>
      <c r="L451">
        <v>42</v>
      </c>
      <c r="M451" t="str">
        <f t="shared" ref="M451:M514" si="7">IF(L451 &gt; 54, "Old Aged", IF($L451 &gt;= 31,"Middle Aged", "Adolescent"))</f>
        <v>Middle Aged</v>
      </c>
      <c r="N451" t="s">
        <v>18</v>
      </c>
    </row>
    <row r="452" spans="1:14" x14ac:dyDescent="0.3">
      <c r="A452">
        <v>16559</v>
      </c>
      <c r="B452" t="s">
        <v>37</v>
      </c>
      <c r="C452" t="s">
        <v>38</v>
      </c>
      <c r="D452" s="6">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38</v>
      </c>
      <c r="D453" s="6">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38</v>
      </c>
      <c r="D454" s="6">
        <v>30000</v>
      </c>
      <c r="E454">
        <v>2</v>
      </c>
      <c r="F454" t="s">
        <v>19</v>
      </c>
      <c r="G454" t="s">
        <v>20</v>
      </c>
      <c r="H454" t="s">
        <v>18</v>
      </c>
      <c r="I454">
        <v>2</v>
      </c>
      <c r="J454" t="s">
        <v>16</v>
      </c>
      <c r="K454" t="s">
        <v>24</v>
      </c>
      <c r="L454">
        <v>69</v>
      </c>
      <c r="M454" t="str">
        <f t="shared" si="7"/>
        <v>Old Aged</v>
      </c>
      <c r="N454" t="s">
        <v>18</v>
      </c>
    </row>
    <row r="455" spans="1:14" x14ac:dyDescent="0.3">
      <c r="A455">
        <v>26765</v>
      </c>
      <c r="B455" t="s">
        <v>37</v>
      </c>
      <c r="C455" t="s">
        <v>38</v>
      </c>
      <c r="D455" s="6">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39</v>
      </c>
      <c r="D456" s="6">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38</v>
      </c>
      <c r="D457" s="6">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39</v>
      </c>
      <c r="D458" s="6">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38</v>
      </c>
      <c r="D459" s="6">
        <v>20000</v>
      </c>
      <c r="E459">
        <v>1</v>
      </c>
      <c r="F459" t="s">
        <v>19</v>
      </c>
      <c r="G459" t="s">
        <v>25</v>
      </c>
      <c r="H459" t="s">
        <v>15</v>
      </c>
      <c r="I459">
        <v>0</v>
      </c>
      <c r="J459" t="s">
        <v>16</v>
      </c>
      <c r="K459" t="s">
        <v>17</v>
      </c>
      <c r="L459">
        <v>65</v>
      </c>
      <c r="M459" t="str">
        <f t="shared" si="7"/>
        <v>Old Aged</v>
      </c>
      <c r="N459" t="s">
        <v>18</v>
      </c>
    </row>
    <row r="460" spans="1:14" x14ac:dyDescent="0.3">
      <c r="A460">
        <v>21560</v>
      </c>
      <c r="B460" t="s">
        <v>36</v>
      </c>
      <c r="C460" t="s">
        <v>39</v>
      </c>
      <c r="D460" s="6">
        <v>120000</v>
      </c>
      <c r="E460">
        <v>0</v>
      </c>
      <c r="F460" t="s">
        <v>29</v>
      </c>
      <c r="G460" t="s">
        <v>21</v>
      </c>
      <c r="H460" t="s">
        <v>15</v>
      </c>
      <c r="I460">
        <v>4</v>
      </c>
      <c r="J460" t="s">
        <v>46</v>
      </c>
      <c r="K460" t="s">
        <v>24</v>
      </c>
      <c r="L460">
        <v>32</v>
      </c>
      <c r="M460" t="str">
        <f t="shared" si="7"/>
        <v>Middle Aged</v>
      </c>
      <c r="N460" t="s">
        <v>15</v>
      </c>
    </row>
    <row r="461" spans="1:14" x14ac:dyDescent="0.3">
      <c r="A461">
        <v>21554</v>
      </c>
      <c r="B461" t="s">
        <v>37</v>
      </c>
      <c r="C461" t="s">
        <v>38</v>
      </c>
      <c r="D461" s="6">
        <v>80000</v>
      </c>
      <c r="E461">
        <v>0</v>
      </c>
      <c r="F461" t="s">
        <v>13</v>
      </c>
      <c r="G461" t="s">
        <v>21</v>
      </c>
      <c r="H461" t="s">
        <v>18</v>
      </c>
      <c r="I461">
        <v>3</v>
      </c>
      <c r="J461" t="s">
        <v>46</v>
      </c>
      <c r="K461" t="s">
        <v>24</v>
      </c>
      <c r="L461">
        <v>33</v>
      </c>
      <c r="M461" t="str">
        <f t="shared" si="7"/>
        <v>Middle Aged</v>
      </c>
      <c r="N461" t="s">
        <v>18</v>
      </c>
    </row>
    <row r="462" spans="1:14" x14ac:dyDescent="0.3">
      <c r="A462">
        <v>13662</v>
      </c>
      <c r="B462" t="s">
        <v>37</v>
      </c>
      <c r="C462" t="s">
        <v>39</v>
      </c>
      <c r="D462" s="6">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38</v>
      </c>
      <c r="D463" s="6">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38</v>
      </c>
      <c r="D464" s="6">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39</v>
      </c>
      <c r="D465" s="6">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6">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39</v>
      </c>
      <c r="D467" s="6">
        <v>40000</v>
      </c>
      <c r="E467">
        <v>2</v>
      </c>
      <c r="F467" t="s">
        <v>13</v>
      </c>
      <c r="G467" t="s">
        <v>28</v>
      </c>
      <c r="H467" t="s">
        <v>15</v>
      </c>
      <c r="I467">
        <v>2</v>
      </c>
      <c r="J467" t="s">
        <v>16</v>
      </c>
      <c r="K467" t="s">
        <v>24</v>
      </c>
      <c r="L467">
        <v>65</v>
      </c>
      <c r="M467" t="str">
        <f t="shared" si="7"/>
        <v>Old Aged</v>
      </c>
      <c r="N467" t="s">
        <v>18</v>
      </c>
    </row>
    <row r="468" spans="1:14" x14ac:dyDescent="0.3">
      <c r="A468">
        <v>16549</v>
      </c>
      <c r="B468" t="s">
        <v>37</v>
      </c>
      <c r="C468" t="s">
        <v>38</v>
      </c>
      <c r="D468" s="6">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39</v>
      </c>
      <c r="D469" s="6">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38</v>
      </c>
      <c r="D470" s="6">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38</v>
      </c>
      <c r="D471" s="6">
        <v>30000</v>
      </c>
      <c r="E471">
        <v>1</v>
      </c>
      <c r="F471" t="s">
        <v>13</v>
      </c>
      <c r="G471" t="s">
        <v>20</v>
      </c>
      <c r="H471" t="s">
        <v>15</v>
      </c>
      <c r="I471">
        <v>0</v>
      </c>
      <c r="J471" t="s">
        <v>16</v>
      </c>
      <c r="K471" t="s">
        <v>17</v>
      </c>
      <c r="L471">
        <v>65</v>
      </c>
      <c r="M471" t="str">
        <f t="shared" si="7"/>
        <v>Old Aged</v>
      </c>
      <c r="N471" t="s">
        <v>18</v>
      </c>
    </row>
    <row r="472" spans="1:14" x14ac:dyDescent="0.3">
      <c r="A472">
        <v>15612</v>
      </c>
      <c r="B472" t="s">
        <v>37</v>
      </c>
      <c r="C472" t="s">
        <v>39</v>
      </c>
      <c r="D472" s="6">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6">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6">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38</v>
      </c>
      <c r="D475" s="6">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38</v>
      </c>
      <c r="D476" s="6">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39</v>
      </c>
      <c r="D477" s="6">
        <v>20000</v>
      </c>
      <c r="E477">
        <v>4</v>
      </c>
      <c r="F477" t="s">
        <v>27</v>
      </c>
      <c r="G477" t="s">
        <v>14</v>
      </c>
      <c r="H477" t="s">
        <v>18</v>
      </c>
      <c r="I477">
        <v>2</v>
      </c>
      <c r="J477" t="s">
        <v>26</v>
      </c>
      <c r="K477" t="s">
        <v>24</v>
      </c>
      <c r="L477">
        <v>60</v>
      </c>
      <c r="M477" t="str">
        <f t="shared" si="7"/>
        <v>Old Aged</v>
      </c>
      <c r="N477" t="s">
        <v>18</v>
      </c>
    </row>
    <row r="478" spans="1:14" x14ac:dyDescent="0.3">
      <c r="A478">
        <v>21974</v>
      </c>
      <c r="B478" t="s">
        <v>37</v>
      </c>
      <c r="C478" t="s">
        <v>38</v>
      </c>
      <c r="D478" s="6">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39</v>
      </c>
      <c r="D479" s="6">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39</v>
      </c>
      <c r="D480" s="6">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39</v>
      </c>
      <c r="D481" s="6">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38</v>
      </c>
      <c r="D482" s="6">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6">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39</v>
      </c>
      <c r="D484" s="6">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39</v>
      </c>
      <c r="D485" s="6">
        <v>10000</v>
      </c>
      <c r="E485">
        <v>1</v>
      </c>
      <c r="F485" t="s">
        <v>31</v>
      </c>
      <c r="G485" t="s">
        <v>20</v>
      </c>
      <c r="H485" t="s">
        <v>15</v>
      </c>
      <c r="I485">
        <v>0</v>
      </c>
      <c r="J485" t="s">
        <v>16</v>
      </c>
      <c r="K485" t="s">
        <v>17</v>
      </c>
      <c r="L485">
        <v>70</v>
      </c>
      <c r="M485" t="str">
        <f t="shared" si="7"/>
        <v>Old Aged</v>
      </c>
      <c r="N485" t="s">
        <v>18</v>
      </c>
    </row>
    <row r="486" spans="1:14" x14ac:dyDescent="0.3">
      <c r="A486">
        <v>25681</v>
      </c>
      <c r="B486" t="s">
        <v>37</v>
      </c>
      <c r="C486" t="s">
        <v>38</v>
      </c>
      <c r="D486" s="6">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39</v>
      </c>
      <c r="D487" s="6">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38</v>
      </c>
      <c r="D488" s="6">
        <v>90000</v>
      </c>
      <c r="E488">
        <v>4</v>
      </c>
      <c r="F488" t="s">
        <v>29</v>
      </c>
      <c r="G488" t="s">
        <v>14</v>
      </c>
      <c r="H488" t="s">
        <v>15</v>
      </c>
      <c r="I488">
        <v>4</v>
      </c>
      <c r="J488" t="s">
        <v>46</v>
      </c>
      <c r="K488" t="s">
        <v>17</v>
      </c>
      <c r="L488">
        <v>58</v>
      </c>
      <c r="M488" t="str">
        <f t="shared" si="7"/>
        <v>Old Aged</v>
      </c>
      <c r="N488" t="s">
        <v>18</v>
      </c>
    </row>
    <row r="489" spans="1:14" x14ac:dyDescent="0.3">
      <c r="A489">
        <v>12821</v>
      </c>
      <c r="B489" t="s">
        <v>36</v>
      </c>
      <c r="C489" t="s">
        <v>39</v>
      </c>
      <c r="D489" s="6">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6">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39</v>
      </c>
      <c r="D491" s="6">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39</v>
      </c>
      <c r="D492" s="6">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39</v>
      </c>
      <c r="D493" s="6">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6">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39</v>
      </c>
      <c r="D495" s="6">
        <v>70000</v>
      </c>
      <c r="E495">
        <v>5</v>
      </c>
      <c r="F495" t="s">
        <v>13</v>
      </c>
      <c r="G495" t="s">
        <v>28</v>
      </c>
      <c r="H495" t="s">
        <v>15</v>
      </c>
      <c r="I495">
        <v>3</v>
      </c>
      <c r="J495" t="s">
        <v>46</v>
      </c>
      <c r="K495" t="s">
        <v>32</v>
      </c>
      <c r="L495">
        <v>60</v>
      </c>
      <c r="M495" t="str">
        <f t="shared" si="7"/>
        <v>Old Aged</v>
      </c>
      <c r="N495" t="s">
        <v>15</v>
      </c>
    </row>
    <row r="496" spans="1:14" x14ac:dyDescent="0.3">
      <c r="A496">
        <v>27650</v>
      </c>
      <c r="B496" t="s">
        <v>36</v>
      </c>
      <c r="C496" t="s">
        <v>39</v>
      </c>
      <c r="D496" s="6">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39</v>
      </c>
      <c r="D497" s="6">
        <v>60000</v>
      </c>
      <c r="E497">
        <v>2</v>
      </c>
      <c r="F497" t="s">
        <v>19</v>
      </c>
      <c r="G497" t="s">
        <v>21</v>
      </c>
      <c r="H497" t="s">
        <v>15</v>
      </c>
      <c r="I497">
        <v>2</v>
      </c>
      <c r="J497" t="s">
        <v>46</v>
      </c>
      <c r="K497" t="s">
        <v>32</v>
      </c>
      <c r="L497">
        <v>56</v>
      </c>
      <c r="M497" t="str">
        <f t="shared" si="7"/>
        <v>Old Aged</v>
      </c>
      <c r="N497" t="s">
        <v>18</v>
      </c>
    </row>
    <row r="498" spans="1:14" x14ac:dyDescent="0.3">
      <c r="A498">
        <v>20678</v>
      </c>
      <c r="B498" t="s">
        <v>37</v>
      </c>
      <c r="C498" t="s">
        <v>38</v>
      </c>
      <c r="D498" s="6">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6">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39</v>
      </c>
      <c r="D500" s="6">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6">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39</v>
      </c>
      <c r="D502" s="6">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38</v>
      </c>
      <c r="D503" s="6">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39</v>
      </c>
      <c r="D504" s="6">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6">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39</v>
      </c>
      <c r="D506" s="6">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39</v>
      </c>
      <c r="D507" s="6">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38</v>
      </c>
      <c r="D508" s="6">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38</v>
      </c>
      <c r="D509" s="6">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39</v>
      </c>
      <c r="D510" s="6">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6">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39</v>
      </c>
      <c r="D512" s="6">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39</v>
      </c>
      <c r="D513" s="6">
        <v>80000</v>
      </c>
      <c r="E513">
        <v>4</v>
      </c>
      <c r="F513" t="s">
        <v>13</v>
      </c>
      <c r="G513" t="s">
        <v>28</v>
      </c>
      <c r="H513" t="s">
        <v>15</v>
      </c>
      <c r="I513">
        <v>0</v>
      </c>
      <c r="J513" t="s">
        <v>23</v>
      </c>
      <c r="K513" t="s">
        <v>32</v>
      </c>
      <c r="L513">
        <v>66</v>
      </c>
      <c r="M513" t="str">
        <f t="shared" si="7"/>
        <v>Old Aged</v>
      </c>
      <c r="N513" t="s">
        <v>15</v>
      </c>
    </row>
    <row r="514" spans="1:14" x14ac:dyDescent="0.3">
      <c r="A514">
        <v>18052</v>
      </c>
      <c r="B514" t="s">
        <v>36</v>
      </c>
      <c r="C514" t="s">
        <v>38</v>
      </c>
      <c r="D514" s="6">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6">
        <v>60000</v>
      </c>
      <c r="E515">
        <v>4</v>
      </c>
      <c r="F515" t="s">
        <v>31</v>
      </c>
      <c r="G515" t="s">
        <v>28</v>
      </c>
      <c r="H515" t="s">
        <v>15</v>
      </c>
      <c r="I515">
        <v>2</v>
      </c>
      <c r="J515" t="s">
        <v>46</v>
      </c>
      <c r="K515" t="s">
        <v>32</v>
      </c>
      <c r="L515">
        <v>61</v>
      </c>
      <c r="M515" t="str">
        <f t="shared" ref="M515:M578" si="8">IF(L515 &gt; 54, "Old Aged", IF($L515 &gt;= 31,"Middle Aged", "Adolescent"))</f>
        <v>Old Aged</v>
      </c>
      <c r="N515" t="s">
        <v>15</v>
      </c>
    </row>
    <row r="516" spans="1:14" x14ac:dyDescent="0.3">
      <c r="A516">
        <v>19399</v>
      </c>
      <c r="B516" t="s">
        <v>37</v>
      </c>
      <c r="C516" t="s">
        <v>39</v>
      </c>
      <c r="D516" s="6">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38</v>
      </c>
      <c r="D517" s="6">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38</v>
      </c>
      <c r="D518" s="6">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39</v>
      </c>
      <c r="D519" s="6">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38</v>
      </c>
      <c r="D520" s="6">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39</v>
      </c>
      <c r="D521" s="6">
        <v>80000</v>
      </c>
      <c r="E521">
        <v>5</v>
      </c>
      <c r="F521" t="s">
        <v>13</v>
      </c>
      <c r="G521" t="s">
        <v>28</v>
      </c>
      <c r="H521" t="s">
        <v>15</v>
      </c>
      <c r="I521">
        <v>2</v>
      </c>
      <c r="J521" t="s">
        <v>26</v>
      </c>
      <c r="K521" t="s">
        <v>32</v>
      </c>
      <c r="L521">
        <v>64</v>
      </c>
      <c r="M521" t="str">
        <f t="shared" si="8"/>
        <v>Old Aged</v>
      </c>
      <c r="N521" t="s">
        <v>18</v>
      </c>
    </row>
    <row r="522" spans="1:14" x14ac:dyDescent="0.3">
      <c r="A522">
        <v>27638</v>
      </c>
      <c r="B522" t="s">
        <v>37</v>
      </c>
      <c r="C522" t="s">
        <v>39</v>
      </c>
      <c r="D522" s="6">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39</v>
      </c>
      <c r="D523" s="6">
        <v>40000</v>
      </c>
      <c r="E523">
        <v>4</v>
      </c>
      <c r="F523" t="s">
        <v>27</v>
      </c>
      <c r="G523" t="s">
        <v>21</v>
      </c>
      <c r="H523" t="s">
        <v>15</v>
      </c>
      <c r="I523">
        <v>2</v>
      </c>
      <c r="J523" t="s">
        <v>46</v>
      </c>
      <c r="K523" t="s">
        <v>32</v>
      </c>
      <c r="L523">
        <v>62</v>
      </c>
      <c r="M523" t="str">
        <f t="shared" si="8"/>
        <v>Old Aged</v>
      </c>
      <c r="N523" t="s">
        <v>15</v>
      </c>
    </row>
    <row r="524" spans="1:14" x14ac:dyDescent="0.3">
      <c r="A524">
        <v>19413</v>
      </c>
      <c r="B524" t="s">
        <v>37</v>
      </c>
      <c r="C524" t="s">
        <v>39</v>
      </c>
      <c r="D524" s="6">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39</v>
      </c>
      <c r="D525" s="6">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6">
        <v>80000</v>
      </c>
      <c r="E526">
        <v>4</v>
      </c>
      <c r="F526" t="s">
        <v>31</v>
      </c>
      <c r="G526" t="s">
        <v>28</v>
      </c>
      <c r="H526" t="s">
        <v>15</v>
      </c>
      <c r="I526">
        <v>2</v>
      </c>
      <c r="J526" t="s">
        <v>23</v>
      </c>
      <c r="K526" t="s">
        <v>32</v>
      </c>
      <c r="L526">
        <v>67</v>
      </c>
      <c r="M526" t="str">
        <f t="shared" si="8"/>
        <v>Old Aged</v>
      </c>
      <c r="N526" t="s">
        <v>18</v>
      </c>
    </row>
    <row r="527" spans="1:14" x14ac:dyDescent="0.3">
      <c r="A527">
        <v>16791</v>
      </c>
      <c r="B527" t="s">
        <v>37</v>
      </c>
      <c r="C527" t="s">
        <v>39</v>
      </c>
      <c r="D527" s="6">
        <v>60000</v>
      </c>
      <c r="E527">
        <v>5</v>
      </c>
      <c r="F527" t="s">
        <v>13</v>
      </c>
      <c r="G527" t="s">
        <v>28</v>
      </c>
      <c r="H527" t="s">
        <v>15</v>
      </c>
      <c r="I527">
        <v>3</v>
      </c>
      <c r="J527" t="s">
        <v>46</v>
      </c>
      <c r="K527" t="s">
        <v>32</v>
      </c>
      <c r="L527">
        <v>59</v>
      </c>
      <c r="M527" t="str">
        <f t="shared" si="8"/>
        <v>Old Aged</v>
      </c>
      <c r="N527" t="s">
        <v>15</v>
      </c>
    </row>
    <row r="528" spans="1:14" x14ac:dyDescent="0.3">
      <c r="A528">
        <v>15382</v>
      </c>
      <c r="B528" t="s">
        <v>36</v>
      </c>
      <c r="C528" t="s">
        <v>38</v>
      </c>
      <c r="D528" s="6">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39</v>
      </c>
      <c r="D529" s="6">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6">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6">
        <v>60000</v>
      </c>
      <c r="E531">
        <v>2</v>
      </c>
      <c r="F531" t="s">
        <v>19</v>
      </c>
      <c r="G531" t="s">
        <v>21</v>
      </c>
      <c r="H531" t="s">
        <v>15</v>
      </c>
      <c r="I531">
        <v>1</v>
      </c>
      <c r="J531" t="s">
        <v>46</v>
      </c>
      <c r="K531" t="s">
        <v>32</v>
      </c>
      <c r="L531">
        <v>57</v>
      </c>
      <c r="M531" t="str">
        <f t="shared" si="8"/>
        <v>Old Aged</v>
      </c>
      <c r="N531" t="s">
        <v>15</v>
      </c>
    </row>
    <row r="532" spans="1:14" x14ac:dyDescent="0.3">
      <c r="A532">
        <v>25909</v>
      </c>
      <c r="B532" t="s">
        <v>36</v>
      </c>
      <c r="C532" t="s">
        <v>39</v>
      </c>
      <c r="D532" s="6">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6">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6">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39</v>
      </c>
      <c r="D535" s="6">
        <v>60000</v>
      </c>
      <c r="E535">
        <v>3</v>
      </c>
      <c r="F535" t="s">
        <v>13</v>
      </c>
      <c r="G535" t="s">
        <v>28</v>
      </c>
      <c r="H535" t="s">
        <v>15</v>
      </c>
      <c r="I535">
        <v>2</v>
      </c>
      <c r="J535" t="s">
        <v>46</v>
      </c>
      <c r="K535" t="s">
        <v>32</v>
      </c>
      <c r="L535">
        <v>66</v>
      </c>
      <c r="M535" t="str">
        <f t="shared" si="8"/>
        <v>Old Aged</v>
      </c>
      <c r="N535" t="s">
        <v>18</v>
      </c>
    </row>
    <row r="536" spans="1:14" x14ac:dyDescent="0.3">
      <c r="A536">
        <v>24637</v>
      </c>
      <c r="B536" t="s">
        <v>36</v>
      </c>
      <c r="C536" t="s">
        <v>39</v>
      </c>
      <c r="D536" s="6">
        <v>40000</v>
      </c>
      <c r="E536">
        <v>4</v>
      </c>
      <c r="F536" t="s">
        <v>27</v>
      </c>
      <c r="G536" t="s">
        <v>21</v>
      </c>
      <c r="H536" t="s">
        <v>15</v>
      </c>
      <c r="I536">
        <v>2</v>
      </c>
      <c r="J536" t="s">
        <v>46</v>
      </c>
      <c r="K536" t="s">
        <v>32</v>
      </c>
      <c r="L536">
        <v>64</v>
      </c>
      <c r="M536" t="str">
        <f t="shared" si="8"/>
        <v>Old Aged</v>
      </c>
      <c r="N536" t="s">
        <v>18</v>
      </c>
    </row>
    <row r="537" spans="1:14" x14ac:dyDescent="0.3">
      <c r="A537">
        <v>23893</v>
      </c>
      <c r="B537" t="s">
        <v>36</v>
      </c>
      <c r="C537" t="s">
        <v>39</v>
      </c>
      <c r="D537" s="6">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38</v>
      </c>
      <c r="D538" s="6">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38</v>
      </c>
      <c r="D539" s="6">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38</v>
      </c>
      <c r="D540" s="6">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6">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6">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39</v>
      </c>
      <c r="D543" s="6">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39</v>
      </c>
      <c r="D544" s="6">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6">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39</v>
      </c>
      <c r="D546" s="6">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39</v>
      </c>
      <c r="D547" s="6">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6">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39</v>
      </c>
      <c r="D549" s="6">
        <v>60000</v>
      </c>
      <c r="E549">
        <v>2</v>
      </c>
      <c r="F549" t="s">
        <v>27</v>
      </c>
      <c r="G549" t="s">
        <v>21</v>
      </c>
      <c r="H549" t="s">
        <v>15</v>
      </c>
      <c r="I549">
        <v>2</v>
      </c>
      <c r="J549" t="s">
        <v>22</v>
      </c>
      <c r="K549" t="s">
        <v>32</v>
      </c>
      <c r="L549">
        <v>55</v>
      </c>
      <c r="M549" t="str">
        <f t="shared" si="8"/>
        <v>Old Aged</v>
      </c>
      <c r="N549" t="s">
        <v>15</v>
      </c>
    </row>
    <row r="550" spans="1:14" x14ac:dyDescent="0.3">
      <c r="A550">
        <v>18674</v>
      </c>
      <c r="B550" t="s">
        <v>37</v>
      </c>
      <c r="C550" t="s">
        <v>38</v>
      </c>
      <c r="D550" s="6">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38</v>
      </c>
      <c r="D551" s="6">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6">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38</v>
      </c>
      <c r="D553" s="6">
        <v>50000</v>
      </c>
      <c r="E553">
        <v>4</v>
      </c>
      <c r="F553" t="s">
        <v>13</v>
      </c>
      <c r="G553" t="s">
        <v>28</v>
      </c>
      <c r="H553" t="s">
        <v>15</v>
      </c>
      <c r="I553">
        <v>2</v>
      </c>
      <c r="J553" t="s">
        <v>46</v>
      </c>
      <c r="K553" t="s">
        <v>32</v>
      </c>
      <c r="L553">
        <v>63</v>
      </c>
      <c r="M553" t="str">
        <f t="shared" si="8"/>
        <v>Old Aged</v>
      </c>
      <c r="N553" t="s">
        <v>18</v>
      </c>
    </row>
    <row r="554" spans="1:14" x14ac:dyDescent="0.3">
      <c r="A554">
        <v>14417</v>
      </c>
      <c r="B554" t="s">
        <v>37</v>
      </c>
      <c r="C554" t="s">
        <v>39</v>
      </c>
      <c r="D554" s="6">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39</v>
      </c>
      <c r="D555" s="6">
        <v>40000</v>
      </c>
      <c r="E555">
        <v>3</v>
      </c>
      <c r="F555" t="s">
        <v>19</v>
      </c>
      <c r="G555" t="s">
        <v>21</v>
      </c>
      <c r="H555" t="s">
        <v>18</v>
      </c>
      <c r="I555">
        <v>2</v>
      </c>
      <c r="J555" t="s">
        <v>23</v>
      </c>
      <c r="K555" t="s">
        <v>32</v>
      </c>
      <c r="L555">
        <v>73</v>
      </c>
      <c r="M555" t="str">
        <f t="shared" si="8"/>
        <v>Old Aged</v>
      </c>
      <c r="N555" t="s">
        <v>15</v>
      </c>
    </row>
    <row r="556" spans="1:14" x14ac:dyDescent="0.3">
      <c r="A556">
        <v>18580</v>
      </c>
      <c r="B556" t="s">
        <v>36</v>
      </c>
      <c r="C556" t="s">
        <v>38</v>
      </c>
      <c r="D556" s="6">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39</v>
      </c>
      <c r="D557" s="6">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39</v>
      </c>
      <c r="D558" s="6">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38</v>
      </c>
      <c r="D559" s="6">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38</v>
      </c>
      <c r="D560" s="6">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6">
        <v>60000</v>
      </c>
      <c r="E561">
        <v>2</v>
      </c>
      <c r="F561" t="s">
        <v>13</v>
      </c>
      <c r="G561" t="s">
        <v>28</v>
      </c>
      <c r="H561" t="s">
        <v>15</v>
      </c>
      <c r="I561">
        <v>0</v>
      </c>
      <c r="J561" t="s">
        <v>46</v>
      </c>
      <c r="K561" t="s">
        <v>32</v>
      </c>
      <c r="L561">
        <v>58</v>
      </c>
      <c r="M561" t="str">
        <f t="shared" si="8"/>
        <v>Old Aged</v>
      </c>
      <c r="N561" t="s">
        <v>18</v>
      </c>
    </row>
    <row r="562" spans="1:14" x14ac:dyDescent="0.3">
      <c r="A562">
        <v>18577</v>
      </c>
      <c r="B562" t="s">
        <v>36</v>
      </c>
      <c r="C562" t="s">
        <v>38</v>
      </c>
      <c r="D562" s="6">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38</v>
      </c>
      <c r="D563" s="6">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38</v>
      </c>
      <c r="D564" s="6">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6">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6">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6">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38</v>
      </c>
      <c r="D568" s="6">
        <v>60000</v>
      </c>
      <c r="E568">
        <v>2</v>
      </c>
      <c r="F568" t="s">
        <v>31</v>
      </c>
      <c r="G568" t="s">
        <v>28</v>
      </c>
      <c r="H568" t="s">
        <v>15</v>
      </c>
      <c r="I568">
        <v>2</v>
      </c>
      <c r="J568" t="s">
        <v>23</v>
      </c>
      <c r="K568" t="s">
        <v>32</v>
      </c>
      <c r="L568">
        <v>70</v>
      </c>
      <c r="M568" t="str">
        <f t="shared" si="8"/>
        <v>Old Aged</v>
      </c>
      <c r="N568" t="s">
        <v>18</v>
      </c>
    </row>
    <row r="569" spans="1:14" x14ac:dyDescent="0.3">
      <c r="A569">
        <v>14754</v>
      </c>
      <c r="B569" t="s">
        <v>36</v>
      </c>
      <c r="C569" t="s">
        <v>39</v>
      </c>
      <c r="D569" s="6">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39</v>
      </c>
      <c r="D570" s="6">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39</v>
      </c>
      <c r="D571" s="6">
        <v>50000</v>
      </c>
      <c r="E571">
        <v>3</v>
      </c>
      <c r="F571" t="s">
        <v>31</v>
      </c>
      <c r="G571" t="s">
        <v>28</v>
      </c>
      <c r="H571" t="s">
        <v>15</v>
      </c>
      <c r="I571">
        <v>2</v>
      </c>
      <c r="J571" t="s">
        <v>46</v>
      </c>
      <c r="K571" t="s">
        <v>32</v>
      </c>
      <c r="L571">
        <v>69</v>
      </c>
      <c r="M571" t="str">
        <f t="shared" si="8"/>
        <v>Old Aged</v>
      </c>
      <c r="N571" t="s">
        <v>18</v>
      </c>
    </row>
    <row r="572" spans="1:14" x14ac:dyDescent="0.3">
      <c r="A572">
        <v>20370</v>
      </c>
      <c r="B572" t="s">
        <v>36</v>
      </c>
      <c r="C572" t="s">
        <v>39</v>
      </c>
      <c r="D572" s="6">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39</v>
      </c>
      <c r="D573" s="6">
        <v>40000</v>
      </c>
      <c r="E573">
        <v>2</v>
      </c>
      <c r="F573" t="s">
        <v>29</v>
      </c>
      <c r="G573" t="s">
        <v>14</v>
      </c>
      <c r="H573" t="s">
        <v>15</v>
      </c>
      <c r="I573">
        <v>2</v>
      </c>
      <c r="J573" t="s">
        <v>22</v>
      </c>
      <c r="K573" t="s">
        <v>32</v>
      </c>
      <c r="L573">
        <v>55</v>
      </c>
      <c r="M573" t="str">
        <f t="shared" si="8"/>
        <v>Old Aged</v>
      </c>
      <c r="N573" t="s">
        <v>18</v>
      </c>
    </row>
    <row r="574" spans="1:14" x14ac:dyDescent="0.3">
      <c r="A574">
        <v>23549</v>
      </c>
      <c r="B574" t="s">
        <v>37</v>
      </c>
      <c r="C574" t="s">
        <v>39</v>
      </c>
      <c r="D574" s="6">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6">
        <v>60000</v>
      </c>
      <c r="E575">
        <v>3</v>
      </c>
      <c r="F575" t="s">
        <v>31</v>
      </c>
      <c r="G575" t="s">
        <v>28</v>
      </c>
      <c r="H575" t="s">
        <v>15</v>
      </c>
      <c r="I575">
        <v>2</v>
      </c>
      <c r="J575" t="s">
        <v>26</v>
      </c>
      <c r="K575" t="s">
        <v>32</v>
      </c>
      <c r="L575">
        <v>63</v>
      </c>
      <c r="M575" t="str">
        <f t="shared" si="8"/>
        <v>Old Aged</v>
      </c>
      <c r="N575" t="s">
        <v>18</v>
      </c>
    </row>
    <row r="576" spans="1:14" x14ac:dyDescent="0.3">
      <c r="A576">
        <v>21266</v>
      </c>
      <c r="B576" t="s">
        <v>37</v>
      </c>
      <c r="C576" t="s">
        <v>38</v>
      </c>
      <c r="D576" s="6">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39</v>
      </c>
      <c r="D577" s="6">
        <v>60000</v>
      </c>
      <c r="E577">
        <v>2</v>
      </c>
      <c r="F577" t="s">
        <v>19</v>
      </c>
      <c r="G577" t="s">
        <v>21</v>
      </c>
      <c r="H577" t="s">
        <v>15</v>
      </c>
      <c r="I577">
        <v>1</v>
      </c>
      <c r="J577" t="s">
        <v>46</v>
      </c>
      <c r="K577" t="s">
        <v>32</v>
      </c>
      <c r="L577">
        <v>56</v>
      </c>
      <c r="M577" t="str">
        <f t="shared" si="8"/>
        <v>Old Aged</v>
      </c>
      <c r="N577" t="s">
        <v>18</v>
      </c>
    </row>
    <row r="578" spans="1:14" x14ac:dyDescent="0.3">
      <c r="A578">
        <v>18752</v>
      </c>
      <c r="B578" t="s">
        <v>37</v>
      </c>
      <c r="C578" t="s">
        <v>38</v>
      </c>
      <c r="D578" s="6">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39</v>
      </c>
      <c r="D579" s="6">
        <v>120000</v>
      </c>
      <c r="E579">
        <v>1</v>
      </c>
      <c r="F579" t="s">
        <v>13</v>
      </c>
      <c r="G579" t="s">
        <v>28</v>
      </c>
      <c r="H579" t="s">
        <v>15</v>
      </c>
      <c r="I579">
        <v>4</v>
      </c>
      <c r="J579" t="s">
        <v>16</v>
      </c>
      <c r="K579" t="s">
        <v>32</v>
      </c>
      <c r="L579">
        <v>38</v>
      </c>
      <c r="M579" t="str">
        <f t="shared" ref="M579:M642" si="9">IF(L579 &gt; 54, "Old Aged", IF($L579 &gt;= 31,"Middle Aged", "Adolescent"))</f>
        <v>Middle Aged</v>
      </c>
      <c r="N579" t="s">
        <v>18</v>
      </c>
    </row>
    <row r="580" spans="1:14" x14ac:dyDescent="0.3">
      <c r="A580">
        <v>15313</v>
      </c>
      <c r="B580" t="s">
        <v>36</v>
      </c>
      <c r="C580" t="s">
        <v>39</v>
      </c>
      <c r="D580" s="6">
        <v>60000</v>
      </c>
      <c r="E580">
        <v>4</v>
      </c>
      <c r="F580" t="s">
        <v>13</v>
      </c>
      <c r="G580" t="s">
        <v>28</v>
      </c>
      <c r="H580" t="s">
        <v>15</v>
      </c>
      <c r="I580">
        <v>2</v>
      </c>
      <c r="J580" t="s">
        <v>22</v>
      </c>
      <c r="K580" t="s">
        <v>32</v>
      </c>
      <c r="L580">
        <v>59</v>
      </c>
      <c r="M580" t="str">
        <f t="shared" si="9"/>
        <v>Old Aged</v>
      </c>
      <c r="N580" t="s">
        <v>18</v>
      </c>
    </row>
    <row r="581" spans="1:14" x14ac:dyDescent="0.3">
      <c r="A581">
        <v>25329</v>
      </c>
      <c r="B581" t="s">
        <v>37</v>
      </c>
      <c r="C581" t="s">
        <v>38</v>
      </c>
      <c r="D581" s="6">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38</v>
      </c>
      <c r="D582" s="6">
        <v>60000</v>
      </c>
      <c r="E582">
        <v>3</v>
      </c>
      <c r="F582" t="s">
        <v>31</v>
      </c>
      <c r="G582" t="s">
        <v>28</v>
      </c>
      <c r="H582" t="s">
        <v>15</v>
      </c>
      <c r="I582">
        <v>2</v>
      </c>
      <c r="J582" t="s">
        <v>46</v>
      </c>
      <c r="K582" t="s">
        <v>32</v>
      </c>
      <c r="L582">
        <v>69</v>
      </c>
      <c r="M582" t="str">
        <f t="shared" si="9"/>
        <v>Old Aged</v>
      </c>
      <c r="N582" t="s">
        <v>18</v>
      </c>
    </row>
    <row r="583" spans="1:14" x14ac:dyDescent="0.3">
      <c r="A583">
        <v>23089</v>
      </c>
      <c r="B583" t="s">
        <v>36</v>
      </c>
      <c r="C583" t="s">
        <v>39</v>
      </c>
      <c r="D583" s="6">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6">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39</v>
      </c>
      <c r="D585" s="6">
        <v>60000</v>
      </c>
      <c r="E585">
        <v>3</v>
      </c>
      <c r="F585" t="s">
        <v>13</v>
      </c>
      <c r="G585" t="s">
        <v>28</v>
      </c>
      <c r="H585" t="s">
        <v>15</v>
      </c>
      <c r="I585">
        <v>2</v>
      </c>
      <c r="J585" t="s">
        <v>46</v>
      </c>
      <c r="K585" t="s">
        <v>32</v>
      </c>
      <c r="L585">
        <v>66</v>
      </c>
      <c r="M585" t="str">
        <f t="shared" si="9"/>
        <v>Old Aged</v>
      </c>
      <c r="N585" t="s">
        <v>18</v>
      </c>
    </row>
    <row r="586" spans="1:14" x14ac:dyDescent="0.3">
      <c r="A586">
        <v>28667</v>
      </c>
      <c r="B586" t="s">
        <v>37</v>
      </c>
      <c r="C586" t="s">
        <v>39</v>
      </c>
      <c r="D586" s="6">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39</v>
      </c>
      <c r="D587" s="6">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39</v>
      </c>
      <c r="D588" s="6">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38</v>
      </c>
      <c r="D589" s="6">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38</v>
      </c>
      <c r="D590" s="6">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39</v>
      </c>
      <c r="D591" s="6">
        <v>60000</v>
      </c>
      <c r="E591">
        <v>2</v>
      </c>
      <c r="F591" t="s">
        <v>13</v>
      </c>
      <c r="G591" t="s">
        <v>28</v>
      </c>
      <c r="H591" t="s">
        <v>15</v>
      </c>
      <c r="I591">
        <v>0</v>
      </c>
      <c r="J591" t="s">
        <v>46</v>
      </c>
      <c r="K591" t="s">
        <v>32</v>
      </c>
      <c r="L591">
        <v>57</v>
      </c>
      <c r="M591" t="str">
        <f t="shared" si="9"/>
        <v>Old Aged</v>
      </c>
      <c r="N591" t="s">
        <v>18</v>
      </c>
    </row>
    <row r="592" spans="1:14" x14ac:dyDescent="0.3">
      <c r="A592">
        <v>23158</v>
      </c>
      <c r="B592" t="s">
        <v>36</v>
      </c>
      <c r="C592" t="s">
        <v>38</v>
      </c>
      <c r="D592" s="6">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39</v>
      </c>
      <c r="D593" s="6">
        <v>40000</v>
      </c>
      <c r="E593">
        <v>4</v>
      </c>
      <c r="F593" t="s">
        <v>27</v>
      </c>
      <c r="G593" t="s">
        <v>21</v>
      </c>
      <c r="H593" t="s">
        <v>18</v>
      </c>
      <c r="I593">
        <v>2</v>
      </c>
      <c r="J593" t="s">
        <v>46</v>
      </c>
      <c r="K593" t="s">
        <v>32</v>
      </c>
      <c r="L593">
        <v>61</v>
      </c>
      <c r="M593" t="str">
        <f t="shared" si="9"/>
        <v>Old Aged</v>
      </c>
      <c r="N593" t="s">
        <v>15</v>
      </c>
    </row>
    <row r="594" spans="1:14" x14ac:dyDescent="0.3">
      <c r="A594">
        <v>18391</v>
      </c>
      <c r="B594" t="s">
        <v>37</v>
      </c>
      <c r="C594" t="s">
        <v>38</v>
      </c>
      <c r="D594" s="6">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6">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39</v>
      </c>
      <c r="D596" s="6">
        <v>80000</v>
      </c>
      <c r="E596">
        <v>4</v>
      </c>
      <c r="F596" t="s">
        <v>31</v>
      </c>
      <c r="G596" t="s">
        <v>28</v>
      </c>
      <c r="H596" t="s">
        <v>15</v>
      </c>
      <c r="I596">
        <v>2</v>
      </c>
      <c r="J596" t="s">
        <v>23</v>
      </c>
      <c r="K596" t="s">
        <v>32</v>
      </c>
      <c r="L596">
        <v>70</v>
      </c>
      <c r="M596" t="str">
        <f t="shared" si="9"/>
        <v>Old Aged</v>
      </c>
      <c r="N596" t="s">
        <v>18</v>
      </c>
    </row>
    <row r="597" spans="1:14" x14ac:dyDescent="0.3">
      <c r="A597">
        <v>18058</v>
      </c>
      <c r="B597" t="s">
        <v>37</v>
      </c>
      <c r="C597" t="s">
        <v>38</v>
      </c>
      <c r="D597" s="6">
        <v>20000</v>
      </c>
      <c r="E597">
        <v>3</v>
      </c>
      <c r="F597" t="s">
        <v>27</v>
      </c>
      <c r="G597" t="s">
        <v>14</v>
      </c>
      <c r="H597" t="s">
        <v>15</v>
      </c>
      <c r="I597">
        <v>2</v>
      </c>
      <c r="J597" t="s">
        <v>22</v>
      </c>
      <c r="K597" t="s">
        <v>32</v>
      </c>
      <c r="L597">
        <v>78</v>
      </c>
      <c r="M597" t="str">
        <f t="shared" si="9"/>
        <v>Old Aged</v>
      </c>
      <c r="N597" t="s">
        <v>18</v>
      </c>
    </row>
    <row r="598" spans="1:14" x14ac:dyDescent="0.3">
      <c r="A598">
        <v>20343</v>
      </c>
      <c r="B598" t="s">
        <v>36</v>
      </c>
      <c r="C598" t="s">
        <v>38</v>
      </c>
      <c r="D598" s="6">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39</v>
      </c>
      <c r="D599" s="6">
        <v>40000</v>
      </c>
      <c r="E599">
        <v>2</v>
      </c>
      <c r="F599" t="s">
        <v>27</v>
      </c>
      <c r="G599" t="s">
        <v>21</v>
      </c>
      <c r="H599" t="s">
        <v>18</v>
      </c>
      <c r="I599">
        <v>1</v>
      </c>
      <c r="J599" t="s">
        <v>22</v>
      </c>
      <c r="K599" t="s">
        <v>32</v>
      </c>
      <c r="L599">
        <v>58</v>
      </c>
      <c r="M599" t="str">
        <f t="shared" si="9"/>
        <v>Old Aged</v>
      </c>
      <c r="N599" t="s">
        <v>15</v>
      </c>
    </row>
    <row r="600" spans="1:14" x14ac:dyDescent="0.3">
      <c r="A600">
        <v>24398</v>
      </c>
      <c r="B600" t="s">
        <v>36</v>
      </c>
      <c r="C600" t="s">
        <v>39</v>
      </c>
      <c r="D600" s="6">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38</v>
      </c>
      <c r="D601" s="6">
        <v>60000</v>
      </c>
      <c r="E601">
        <v>2</v>
      </c>
      <c r="F601" t="s">
        <v>19</v>
      </c>
      <c r="G601" t="s">
        <v>21</v>
      </c>
      <c r="H601" t="s">
        <v>15</v>
      </c>
      <c r="I601">
        <v>1</v>
      </c>
      <c r="J601" t="s">
        <v>22</v>
      </c>
      <c r="K601" t="s">
        <v>32</v>
      </c>
      <c r="L601">
        <v>57</v>
      </c>
      <c r="M601" t="str">
        <f t="shared" si="9"/>
        <v>Old Aged</v>
      </c>
      <c r="N601" t="s">
        <v>15</v>
      </c>
    </row>
    <row r="602" spans="1:14" x14ac:dyDescent="0.3">
      <c r="A602">
        <v>28609</v>
      </c>
      <c r="B602" t="s">
        <v>36</v>
      </c>
      <c r="C602" t="s">
        <v>39</v>
      </c>
      <c r="D602" s="6">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39</v>
      </c>
      <c r="D603" s="6">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39</v>
      </c>
      <c r="D604" s="6">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39</v>
      </c>
      <c r="D605" s="6">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39</v>
      </c>
      <c r="D606" s="6">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6">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39</v>
      </c>
      <c r="D608" s="6">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6">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39</v>
      </c>
      <c r="D610" s="6">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39</v>
      </c>
      <c r="D611" s="6">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39</v>
      </c>
      <c r="D612" s="6">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38</v>
      </c>
      <c r="D613" s="6">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6">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6">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38</v>
      </c>
      <c r="D616" s="6">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6">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6">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39</v>
      </c>
      <c r="D619" s="6">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6">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6">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6">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39</v>
      </c>
      <c r="D623" s="6">
        <v>70000</v>
      </c>
      <c r="E623">
        <v>4</v>
      </c>
      <c r="F623" t="s">
        <v>13</v>
      </c>
      <c r="G623" t="s">
        <v>28</v>
      </c>
      <c r="H623" t="s">
        <v>15</v>
      </c>
      <c r="I623">
        <v>1</v>
      </c>
      <c r="J623" t="s">
        <v>26</v>
      </c>
      <c r="K623" t="s">
        <v>32</v>
      </c>
      <c r="L623">
        <v>58</v>
      </c>
      <c r="M623" t="str">
        <f t="shared" si="9"/>
        <v>Old Aged</v>
      </c>
      <c r="N623" t="s">
        <v>18</v>
      </c>
    </row>
    <row r="624" spans="1:14" x14ac:dyDescent="0.3">
      <c r="A624">
        <v>25101</v>
      </c>
      <c r="B624" t="s">
        <v>36</v>
      </c>
      <c r="C624" t="s">
        <v>39</v>
      </c>
      <c r="D624" s="6">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38</v>
      </c>
      <c r="D625" s="6">
        <v>70000</v>
      </c>
      <c r="E625">
        <v>4</v>
      </c>
      <c r="F625" t="s">
        <v>19</v>
      </c>
      <c r="G625" t="s">
        <v>21</v>
      </c>
      <c r="H625" t="s">
        <v>15</v>
      </c>
      <c r="I625">
        <v>1</v>
      </c>
      <c r="J625" t="s">
        <v>26</v>
      </c>
      <c r="K625" t="s">
        <v>32</v>
      </c>
      <c r="L625">
        <v>55</v>
      </c>
      <c r="M625" t="str">
        <f t="shared" si="9"/>
        <v>Old Aged</v>
      </c>
      <c r="N625" t="s">
        <v>18</v>
      </c>
    </row>
    <row r="626" spans="1:14" x14ac:dyDescent="0.3">
      <c r="A626">
        <v>25943</v>
      </c>
      <c r="B626" t="s">
        <v>37</v>
      </c>
      <c r="C626" t="s">
        <v>38</v>
      </c>
      <c r="D626" s="6">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6">
        <v>60000</v>
      </c>
      <c r="E627">
        <v>3</v>
      </c>
      <c r="F627" t="s">
        <v>31</v>
      </c>
      <c r="G627" t="s">
        <v>28</v>
      </c>
      <c r="H627" t="s">
        <v>15</v>
      </c>
      <c r="I627">
        <v>2</v>
      </c>
      <c r="J627" t="s">
        <v>26</v>
      </c>
      <c r="K627" t="s">
        <v>32</v>
      </c>
      <c r="L627">
        <v>67</v>
      </c>
      <c r="M627" t="str">
        <f t="shared" si="9"/>
        <v>Old Aged</v>
      </c>
      <c r="N627" t="s">
        <v>18</v>
      </c>
    </row>
    <row r="628" spans="1:14" x14ac:dyDescent="0.3">
      <c r="A628">
        <v>20414</v>
      </c>
      <c r="B628" t="s">
        <v>36</v>
      </c>
      <c r="C628" t="s">
        <v>38</v>
      </c>
      <c r="D628" s="6">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6">
        <v>60000</v>
      </c>
      <c r="E629">
        <v>3</v>
      </c>
      <c r="F629" t="s">
        <v>31</v>
      </c>
      <c r="G629" t="s">
        <v>28</v>
      </c>
      <c r="H629" t="s">
        <v>15</v>
      </c>
      <c r="I629">
        <v>2</v>
      </c>
      <c r="J629" t="s">
        <v>26</v>
      </c>
      <c r="K629" t="s">
        <v>32</v>
      </c>
      <c r="L629">
        <v>67</v>
      </c>
      <c r="M629" t="str">
        <f t="shared" si="9"/>
        <v>Old Aged</v>
      </c>
      <c r="N629" t="s">
        <v>18</v>
      </c>
    </row>
    <row r="630" spans="1:14" x14ac:dyDescent="0.3">
      <c r="A630">
        <v>29255</v>
      </c>
      <c r="B630" t="s">
        <v>37</v>
      </c>
      <c r="C630" t="s">
        <v>39</v>
      </c>
      <c r="D630" s="6">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38</v>
      </c>
      <c r="D631" s="6">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39</v>
      </c>
      <c r="D632" s="6">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6">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6">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38</v>
      </c>
      <c r="D635" s="6">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39</v>
      </c>
      <c r="D636" s="6">
        <v>60000</v>
      </c>
      <c r="E636">
        <v>3</v>
      </c>
      <c r="F636" t="s">
        <v>13</v>
      </c>
      <c r="G636" t="s">
        <v>28</v>
      </c>
      <c r="H636" t="s">
        <v>18</v>
      </c>
      <c r="I636">
        <v>2</v>
      </c>
      <c r="J636" t="s">
        <v>26</v>
      </c>
      <c r="K636" t="s">
        <v>32</v>
      </c>
      <c r="L636">
        <v>66</v>
      </c>
      <c r="M636" t="str">
        <f t="shared" si="9"/>
        <v>Old Aged</v>
      </c>
      <c r="N636" t="s">
        <v>18</v>
      </c>
    </row>
    <row r="637" spans="1:14" x14ac:dyDescent="0.3">
      <c r="A637">
        <v>24745</v>
      </c>
      <c r="B637" t="s">
        <v>37</v>
      </c>
      <c r="C637" t="s">
        <v>38</v>
      </c>
      <c r="D637" s="6">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6">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39</v>
      </c>
      <c r="D639" s="6">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6">
        <v>70000</v>
      </c>
      <c r="E640">
        <v>0</v>
      </c>
      <c r="F640" t="s">
        <v>31</v>
      </c>
      <c r="G640" t="s">
        <v>28</v>
      </c>
      <c r="H640" t="s">
        <v>15</v>
      </c>
      <c r="I640">
        <v>2</v>
      </c>
      <c r="J640" t="s">
        <v>23</v>
      </c>
      <c r="K640" t="s">
        <v>32</v>
      </c>
      <c r="L640">
        <v>74</v>
      </c>
      <c r="M640" t="str">
        <f t="shared" si="9"/>
        <v>Old Aged</v>
      </c>
      <c r="N640" t="s">
        <v>15</v>
      </c>
    </row>
    <row r="641" spans="1:14" x14ac:dyDescent="0.3">
      <c r="A641">
        <v>14507</v>
      </c>
      <c r="B641" t="s">
        <v>36</v>
      </c>
      <c r="C641" t="s">
        <v>39</v>
      </c>
      <c r="D641" s="6">
        <v>100000</v>
      </c>
      <c r="E641">
        <v>2</v>
      </c>
      <c r="F641" t="s">
        <v>31</v>
      </c>
      <c r="G641" t="s">
        <v>28</v>
      </c>
      <c r="H641" t="s">
        <v>15</v>
      </c>
      <c r="I641">
        <v>3</v>
      </c>
      <c r="J641" t="s">
        <v>26</v>
      </c>
      <c r="K641" t="s">
        <v>32</v>
      </c>
      <c r="L641">
        <v>65</v>
      </c>
      <c r="M641" t="str">
        <f t="shared" si="9"/>
        <v>Old Aged</v>
      </c>
      <c r="N641" t="s">
        <v>18</v>
      </c>
    </row>
    <row r="642" spans="1:14" x14ac:dyDescent="0.3">
      <c r="A642">
        <v>25886</v>
      </c>
      <c r="B642" t="s">
        <v>36</v>
      </c>
      <c r="C642" t="s">
        <v>38</v>
      </c>
      <c r="D642" s="6">
        <v>60000</v>
      </c>
      <c r="E642">
        <v>2</v>
      </c>
      <c r="F642" t="s">
        <v>19</v>
      </c>
      <c r="G642" t="s">
        <v>21</v>
      </c>
      <c r="H642" t="s">
        <v>15</v>
      </c>
      <c r="I642">
        <v>2</v>
      </c>
      <c r="J642" t="s">
        <v>22</v>
      </c>
      <c r="K642" t="s">
        <v>32</v>
      </c>
      <c r="L642">
        <v>56</v>
      </c>
      <c r="M642" t="str">
        <f t="shared" si="9"/>
        <v>Old Aged</v>
      </c>
      <c r="N642" t="s">
        <v>15</v>
      </c>
    </row>
    <row r="643" spans="1:14" x14ac:dyDescent="0.3">
      <c r="A643">
        <v>21441</v>
      </c>
      <c r="B643" t="s">
        <v>36</v>
      </c>
      <c r="C643" t="s">
        <v>39</v>
      </c>
      <c r="D643" s="6">
        <v>50000</v>
      </c>
      <c r="E643">
        <v>4</v>
      </c>
      <c r="F643" t="s">
        <v>13</v>
      </c>
      <c r="G643" t="s">
        <v>28</v>
      </c>
      <c r="H643" t="s">
        <v>15</v>
      </c>
      <c r="I643">
        <v>2</v>
      </c>
      <c r="J643" t="s">
        <v>46</v>
      </c>
      <c r="K643" t="s">
        <v>32</v>
      </c>
      <c r="L643">
        <v>64</v>
      </c>
      <c r="M643" t="str">
        <f t="shared" ref="M643:M706" si="10">IF(L643 &gt; 54, "Old Aged", IF($L643 &gt;= 31,"Middle Aged", "Adolescent"))</f>
        <v>Old Aged</v>
      </c>
      <c r="N643" t="s">
        <v>18</v>
      </c>
    </row>
    <row r="644" spans="1:14" x14ac:dyDescent="0.3">
      <c r="A644">
        <v>21741</v>
      </c>
      <c r="B644" t="s">
        <v>36</v>
      </c>
      <c r="C644" t="s">
        <v>38</v>
      </c>
      <c r="D644" s="6">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38</v>
      </c>
      <c r="D645" s="6">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38</v>
      </c>
      <c r="D646" s="6">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38</v>
      </c>
      <c r="D647" s="6">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6">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39</v>
      </c>
      <c r="D649" s="6">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6">
        <v>70000</v>
      </c>
      <c r="E650">
        <v>2</v>
      </c>
      <c r="F650" t="s">
        <v>13</v>
      </c>
      <c r="G650" t="s">
        <v>28</v>
      </c>
      <c r="H650" t="s">
        <v>18</v>
      </c>
      <c r="I650">
        <v>1</v>
      </c>
      <c r="J650" t="s">
        <v>22</v>
      </c>
      <c r="K650" t="s">
        <v>32</v>
      </c>
      <c r="L650">
        <v>58</v>
      </c>
      <c r="M650" t="str">
        <f t="shared" si="10"/>
        <v>Old Aged</v>
      </c>
      <c r="N650" t="s">
        <v>15</v>
      </c>
    </row>
    <row r="651" spans="1:14" x14ac:dyDescent="0.3">
      <c r="A651">
        <v>19164</v>
      </c>
      <c r="B651" t="s">
        <v>37</v>
      </c>
      <c r="C651" t="s">
        <v>38</v>
      </c>
      <c r="D651" s="6">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6">
        <v>70000</v>
      </c>
      <c r="E652">
        <v>5</v>
      </c>
      <c r="F652" t="s">
        <v>31</v>
      </c>
      <c r="G652" t="s">
        <v>28</v>
      </c>
      <c r="H652" t="s">
        <v>15</v>
      </c>
      <c r="I652">
        <v>2</v>
      </c>
      <c r="J652" t="s">
        <v>46</v>
      </c>
      <c r="K652" t="s">
        <v>32</v>
      </c>
      <c r="L652">
        <v>67</v>
      </c>
      <c r="M652" t="str">
        <f t="shared" si="10"/>
        <v>Old Aged</v>
      </c>
      <c r="N652" t="s">
        <v>15</v>
      </c>
    </row>
    <row r="653" spans="1:14" x14ac:dyDescent="0.3">
      <c r="A653">
        <v>14284</v>
      </c>
      <c r="B653" t="s">
        <v>37</v>
      </c>
      <c r="C653" t="s">
        <v>39</v>
      </c>
      <c r="D653" s="6">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39</v>
      </c>
      <c r="D654" s="6">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39</v>
      </c>
      <c r="D655" s="6">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39</v>
      </c>
      <c r="D656" s="6">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38</v>
      </c>
      <c r="D657" s="6">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39</v>
      </c>
      <c r="D658" s="6">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39</v>
      </c>
      <c r="D659" s="6">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39</v>
      </c>
      <c r="D660" s="6">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6">
        <v>60000</v>
      </c>
      <c r="E661">
        <v>4</v>
      </c>
      <c r="F661" t="s">
        <v>13</v>
      </c>
      <c r="G661" t="s">
        <v>28</v>
      </c>
      <c r="H661" t="s">
        <v>15</v>
      </c>
      <c r="I661">
        <v>2</v>
      </c>
      <c r="J661" t="s">
        <v>46</v>
      </c>
      <c r="K661" t="s">
        <v>32</v>
      </c>
      <c r="L661">
        <v>63</v>
      </c>
      <c r="M661" t="str">
        <f t="shared" si="10"/>
        <v>Old Aged</v>
      </c>
      <c r="N661" t="s">
        <v>18</v>
      </c>
    </row>
    <row r="662" spans="1:14" x14ac:dyDescent="0.3">
      <c r="A662">
        <v>21599</v>
      </c>
      <c r="B662" t="s">
        <v>36</v>
      </c>
      <c r="C662" t="s">
        <v>38</v>
      </c>
      <c r="D662" s="6">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39</v>
      </c>
      <c r="D663" s="6">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6">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38</v>
      </c>
      <c r="D665" s="6">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38</v>
      </c>
      <c r="D666" s="6">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39</v>
      </c>
      <c r="D667" s="6">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38</v>
      </c>
      <c r="D668" s="6">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38</v>
      </c>
      <c r="D669" s="6">
        <v>40000</v>
      </c>
      <c r="E669">
        <v>5</v>
      </c>
      <c r="F669" t="s">
        <v>27</v>
      </c>
      <c r="G669" t="s">
        <v>21</v>
      </c>
      <c r="H669" t="s">
        <v>18</v>
      </c>
      <c r="I669">
        <v>2</v>
      </c>
      <c r="J669" t="s">
        <v>46</v>
      </c>
      <c r="K669" t="s">
        <v>32</v>
      </c>
      <c r="L669">
        <v>61</v>
      </c>
      <c r="M669" t="str">
        <f t="shared" si="10"/>
        <v>Old Aged</v>
      </c>
      <c r="N669" t="s">
        <v>18</v>
      </c>
    </row>
    <row r="670" spans="1:14" x14ac:dyDescent="0.3">
      <c r="A670">
        <v>14592</v>
      </c>
      <c r="B670" t="s">
        <v>36</v>
      </c>
      <c r="C670" t="s">
        <v>38</v>
      </c>
      <c r="D670" s="6">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38</v>
      </c>
      <c r="D671" s="6">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39</v>
      </c>
      <c r="D672" s="6">
        <v>70000</v>
      </c>
      <c r="E672">
        <v>2</v>
      </c>
      <c r="F672" t="s">
        <v>19</v>
      </c>
      <c r="G672" t="s">
        <v>21</v>
      </c>
      <c r="H672" t="s">
        <v>15</v>
      </c>
      <c r="I672">
        <v>1</v>
      </c>
      <c r="J672" t="s">
        <v>46</v>
      </c>
      <c r="K672" t="s">
        <v>32</v>
      </c>
      <c r="L672">
        <v>59</v>
      </c>
      <c r="M672" t="str">
        <f t="shared" si="10"/>
        <v>Old Aged</v>
      </c>
      <c r="N672" t="s">
        <v>18</v>
      </c>
    </row>
    <row r="673" spans="1:14" x14ac:dyDescent="0.3">
      <c r="A673">
        <v>22252</v>
      </c>
      <c r="B673" t="s">
        <v>37</v>
      </c>
      <c r="C673" t="s">
        <v>38</v>
      </c>
      <c r="D673" s="6">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6">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6">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38</v>
      </c>
      <c r="D676" s="6">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39</v>
      </c>
      <c r="D677" s="6">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39</v>
      </c>
      <c r="D678" s="6">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39</v>
      </c>
      <c r="D679" s="6">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39</v>
      </c>
      <c r="D680" s="6">
        <v>80000</v>
      </c>
      <c r="E680">
        <v>5</v>
      </c>
      <c r="F680" t="s">
        <v>13</v>
      </c>
      <c r="G680" t="s">
        <v>28</v>
      </c>
      <c r="H680" t="s">
        <v>18</v>
      </c>
      <c r="I680">
        <v>2</v>
      </c>
      <c r="J680" t="s">
        <v>22</v>
      </c>
      <c r="K680" t="s">
        <v>17</v>
      </c>
      <c r="L680">
        <v>62</v>
      </c>
      <c r="M680" t="str">
        <f t="shared" si="10"/>
        <v>Old Aged</v>
      </c>
      <c r="N680" t="s">
        <v>18</v>
      </c>
    </row>
    <row r="681" spans="1:14" x14ac:dyDescent="0.3">
      <c r="A681">
        <v>21770</v>
      </c>
      <c r="B681" t="s">
        <v>36</v>
      </c>
      <c r="C681" t="s">
        <v>39</v>
      </c>
      <c r="D681" s="6">
        <v>60000</v>
      </c>
      <c r="E681">
        <v>4</v>
      </c>
      <c r="F681" t="s">
        <v>13</v>
      </c>
      <c r="G681" t="s">
        <v>28</v>
      </c>
      <c r="H681" t="s">
        <v>15</v>
      </c>
      <c r="I681">
        <v>2</v>
      </c>
      <c r="J681" t="s">
        <v>46</v>
      </c>
      <c r="K681" t="s">
        <v>32</v>
      </c>
      <c r="L681">
        <v>60</v>
      </c>
      <c r="M681" t="str">
        <f t="shared" si="10"/>
        <v>Old Aged</v>
      </c>
      <c r="N681" t="s">
        <v>18</v>
      </c>
    </row>
    <row r="682" spans="1:14" x14ac:dyDescent="0.3">
      <c r="A682">
        <v>11165</v>
      </c>
      <c r="B682" t="s">
        <v>36</v>
      </c>
      <c r="C682" t="s">
        <v>38</v>
      </c>
      <c r="D682" s="6">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6">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39</v>
      </c>
      <c r="D684" s="6">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38</v>
      </c>
      <c r="D685" s="6">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6">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6">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38</v>
      </c>
      <c r="D688" s="6">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39</v>
      </c>
      <c r="D689" s="6">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6">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6">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6">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39</v>
      </c>
      <c r="D693" s="6">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39</v>
      </c>
      <c r="D694" s="6">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6">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6">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39</v>
      </c>
      <c r="D697" s="6">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39</v>
      </c>
      <c r="D698" s="6">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6">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6">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39</v>
      </c>
      <c r="D701" s="6">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38</v>
      </c>
      <c r="D702" s="6">
        <v>70000</v>
      </c>
      <c r="E702">
        <v>4</v>
      </c>
      <c r="F702" t="s">
        <v>13</v>
      </c>
      <c r="G702" t="s">
        <v>28</v>
      </c>
      <c r="H702" t="s">
        <v>15</v>
      </c>
      <c r="I702">
        <v>1</v>
      </c>
      <c r="J702" t="s">
        <v>26</v>
      </c>
      <c r="K702" t="s">
        <v>32</v>
      </c>
      <c r="L702">
        <v>59</v>
      </c>
      <c r="M702" t="str">
        <f t="shared" si="10"/>
        <v>Old Aged</v>
      </c>
      <c r="N702" t="s">
        <v>18</v>
      </c>
    </row>
    <row r="703" spans="1:14" x14ac:dyDescent="0.3">
      <c r="A703">
        <v>22014</v>
      </c>
      <c r="B703" t="s">
        <v>37</v>
      </c>
      <c r="C703" t="s">
        <v>39</v>
      </c>
      <c r="D703" s="6">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6">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6">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6">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38</v>
      </c>
      <c r="D707" s="6">
        <v>70000</v>
      </c>
      <c r="E707">
        <v>4</v>
      </c>
      <c r="F707" t="s">
        <v>13</v>
      </c>
      <c r="G707" t="s">
        <v>28</v>
      </c>
      <c r="H707" t="s">
        <v>15</v>
      </c>
      <c r="I707">
        <v>1</v>
      </c>
      <c r="J707" t="s">
        <v>46</v>
      </c>
      <c r="K707" t="s">
        <v>32</v>
      </c>
      <c r="L707">
        <v>59</v>
      </c>
      <c r="M707" t="str">
        <f t="shared" ref="M707:M770" si="11">IF(L707 &gt; 54, "Old Aged", IF($L707 &gt;= 31,"Middle Aged", "Adolescent"))</f>
        <v>Old Aged</v>
      </c>
      <c r="N707" t="s">
        <v>18</v>
      </c>
    </row>
    <row r="708" spans="1:14" x14ac:dyDescent="0.3">
      <c r="A708">
        <v>20296</v>
      </c>
      <c r="B708" t="s">
        <v>37</v>
      </c>
      <c r="C708" t="s">
        <v>38</v>
      </c>
      <c r="D708" s="6">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38</v>
      </c>
      <c r="D709" s="6">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39</v>
      </c>
      <c r="D710" s="6">
        <v>70000</v>
      </c>
      <c r="E710">
        <v>5</v>
      </c>
      <c r="F710" t="s">
        <v>13</v>
      </c>
      <c r="G710" t="s">
        <v>28</v>
      </c>
      <c r="H710" t="s">
        <v>15</v>
      </c>
      <c r="I710">
        <v>4</v>
      </c>
      <c r="J710" t="s">
        <v>46</v>
      </c>
      <c r="K710" t="s">
        <v>32</v>
      </c>
      <c r="L710">
        <v>60</v>
      </c>
      <c r="M710" t="str">
        <f t="shared" si="11"/>
        <v>Old Aged</v>
      </c>
      <c r="N710" t="s">
        <v>18</v>
      </c>
    </row>
    <row r="711" spans="1:14" x14ac:dyDescent="0.3">
      <c r="A711">
        <v>23712</v>
      </c>
      <c r="B711" t="s">
        <v>37</v>
      </c>
      <c r="C711" t="s">
        <v>38</v>
      </c>
      <c r="D711" s="6">
        <v>70000</v>
      </c>
      <c r="E711">
        <v>2</v>
      </c>
      <c r="F711" t="s">
        <v>13</v>
      </c>
      <c r="G711" t="s">
        <v>28</v>
      </c>
      <c r="H711" t="s">
        <v>15</v>
      </c>
      <c r="I711">
        <v>1</v>
      </c>
      <c r="J711" t="s">
        <v>46</v>
      </c>
      <c r="K711" t="s">
        <v>32</v>
      </c>
      <c r="L711">
        <v>59</v>
      </c>
      <c r="M711" t="str">
        <f t="shared" si="11"/>
        <v>Old Aged</v>
      </c>
      <c r="N711" t="s">
        <v>18</v>
      </c>
    </row>
    <row r="712" spans="1:14" x14ac:dyDescent="0.3">
      <c r="A712">
        <v>23358</v>
      </c>
      <c r="B712" t="s">
        <v>36</v>
      </c>
      <c r="C712" t="s">
        <v>39</v>
      </c>
      <c r="D712" s="6">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38</v>
      </c>
      <c r="D713" s="6">
        <v>70000</v>
      </c>
      <c r="E713">
        <v>2</v>
      </c>
      <c r="F713" t="s">
        <v>19</v>
      </c>
      <c r="G713" t="s">
        <v>21</v>
      </c>
      <c r="H713" t="s">
        <v>15</v>
      </c>
      <c r="I713">
        <v>1</v>
      </c>
      <c r="J713" t="s">
        <v>46</v>
      </c>
      <c r="K713" t="s">
        <v>32</v>
      </c>
      <c r="L713">
        <v>58</v>
      </c>
      <c r="M713" t="str">
        <f t="shared" si="11"/>
        <v>Old Aged</v>
      </c>
      <c r="N713" t="s">
        <v>18</v>
      </c>
    </row>
    <row r="714" spans="1:14" x14ac:dyDescent="0.3">
      <c r="A714">
        <v>28026</v>
      </c>
      <c r="B714" t="s">
        <v>36</v>
      </c>
      <c r="C714" t="s">
        <v>38</v>
      </c>
      <c r="D714" s="6">
        <v>40000</v>
      </c>
      <c r="E714">
        <v>2</v>
      </c>
      <c r="F714" t="s">
        <v>27</v>
      </c>
      <c r="G714" t="s">
        <v>21</v>
      </c>
      <c r="H714" t="s">
        <v>18</v>
      </c>
      <c r="I714">
        <v>2</v>
      </c>
      <c r="J714" t="s">
        <v>22</v>
      </c>
      <c r="K714" t="s">
        <v>32</v>
      </c>
      <c r="L714">
        <v>59</v>
      </c>
      <c r="M714" t="str">
        <f t="shared" si="11"/>
        <v>Old Aged</v>
      </c>
      <c r="N714" t="s">
        <v>18</v>
      </c>
    </row>
    <row r="715" spans="1:14" x14ac:dyDescent="0.3">
      <c r="A715">
        <v>11669</v>
      </c>
      <c r="B715" t="s">
        <v>37</v>
      </c>
      <c r="C715" t="s">
        <v>38</v>
      </c>
      <c r="D715" s="6">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39</v>
      </c>
      <c r="D716" s="6">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6">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6">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39</v>
      </c>
      <c r="D719" s="6">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39</v>
      </c>
      <c r="D720" s="6">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38</v>
      </c>
      <c r="D721" s="6">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6">
        <v>40000</v>
      </c>
      <c r="E722">
        <v>5</v>
      </c>
      <c r="F722" t="s">
        <v>27</v>
      </c>
      <c r="G722" t="s">
        <v>21</v>
      </c>
      <c r="H722" t="s">
        <v>18</v>
      </c>
      <c r="I722">
        <v>3</v>
      </c>
      <c r="J722" t="s">
        <v>22</v>
      </c>
      <c r="K722" t="s">
        <v>32</v>
      </c>
      <c r="L722">
        <v>60</v>
      </c>
      <c r="M722" t="str">
        <f t="shared" si="11"/>
        <v>Old Aged</v>
      </c>
      <c r="N722" t="s">
        <v>15</v>
      </c>
    </row>
    <row r="723" spans="1:14" x14ac:dyDescent="0.3">
      <c r="A723">
        <v>13287</v>
      </c>
      <c r="B723" t="s">
        <v>37</v>
      </c>
      <c r="C723" t="s">
        <v>39</v>
      </c>
      <c r="D723" s="6">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6">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38</v>
      </c>
      <c r="D725" s="6">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39</v>
      </c>
      <c r="D726" s="6">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39</v>
      </c>
      <c r="D727" s="6">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39</v>
      </c>
      <c r="D728" s="6">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39</v>
      </c>
      <c r="D729" s="6">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39</v>
      </c>
      <c r="D730" s="6">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6">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6">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39</v>
      </c>
      <c r="D733" s="6">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6">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39</v>
      </c>
      <c r="D735" s="6">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6">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6">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6">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39</v>
      </c>
      <c r="D739" s="6">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6">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38</v>
      </c>
      <c r="D741" s="6">
        <v>60000</v>
      </c>
      <c r="E741">
        <v>2</v>
      </c>
      <c r="F741" t="s">
        <v>19</v>
      </c>
      <c r="G741" t="s">
        <v>21</v>
      </c>
      <c r="H741" t="s">
        <v>15</v>
      </c>
      <c r="I741">
        <v>1</v>
      </c>
      <c r="J741" t="s">
        <v>46</v>
      </c>
      <c r="K741" t="s">
        <v>32</v>
      </c>
      <c r="L741">
        <v>55</v>
      </c>
      <c r="M741" t="str">
        <f t="shared" si="11"/>
        <v>Old Aged</v>
      </c>
      <c r="N741" t="s">
        <v>18</v>
      </c>
    </row>
    <row r="742" spans="1:14" x14ac:dyDescent="0.3">
      <c r="A742">
        <v>17657</v>
      </c>
      <c r="B742" t="s">
        <v>36</v>
      </c>
      <c r="C742" t="s">
        <v>39</v>
      </c>
      <c r="D742" s="6">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6">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39</v>
      </c>
      <c r="D744" s="6">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6">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38</v>
      </c>
      <c r="D746" s="6">
        <v>70000</v>
      </c>
      <c r="E746">
        <v>4</v>
      </c>
      <c r="F746" t="s">
        <v>19</v>
      </c>
      <c r="G746" t="s">
        <v>21</v>
      </c>
      <c r="H746" t="s">
        <v>15</v>
      </c>
      <c r="I746">
        <v>1</v>
      </c>
      <c r="J746" t="s">
        <v>46</v>
      </c>
      <c r="K746" t="s">
        <v>32</v>
      </c>
      <c r="L746">
        <v>56</v>
      </c>
      <c r="M746" t="str">
        <f t="shared" si="11"/>
        <v>Old Aged</v>
      </c>
      <c r="N746" t="s">
        <v>18</v>
      </c>
    </row>
    <row r="747" spans="1:14" x14ac:dyDescent="0.3">
      <c r="A747">
        <v>12452</v>
      </c>
      <c r="B747" t="s">
        <v>36</v>
      </c>
      <c r="C747" t="s">
        <v>39</v>
      </c>
      <c r="D747" s="6">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38</v>
      </c>
      <c r="D748" s="6">
        <v>60000</v>
      </c>
      <c r="E748">
        <v>2</v>
      </c>
      <c r="F748" t="s">
        <v>13</v>
      </c>
      <c r="G748" t="s">
        <v>28</v>
      </c>
      <c r="H748" t="s">
        <v>15</v>
      </c>
      <c r="I748">
        <v>0</v>
      </c>
      <c r="J748" t="s">
        <v>46</v>
      </c>
      <c r="K748" t="s">
        <v>32</v>
      </c>
      <c r="L748">
        <v>56</v>
      </c>
      <c r="M748" t="str">
        <f t="shared" si="11"/>
        <v>Old Aged</v>
      </c>
      <c r="N748" t="s">
        <v>18</v>
      </c>
    </row>
    <row r="749" spans="1:14" x14ac:dyDescent="0.3">
      <c r="A749">
        <v>12957</v>
      </c>
      <c r="B749" t="s">
        <v>37</v>
      </c>
      <c r="C749" t="s">
        <v>38</v>
      </c>
      <c r="D749" s="6">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39</v>
      </c>
      <c r="D750" s="6">
        <v>130000</v>
      </c>
      <c r="E750">
        <v>2</v>
      </c>
      <c r="F750" t="s">
        <v>31</v>
      </c>
      <c r="G750" t="s">
        <v>28</v>
      </c>
      <c r="H750" t="s">
        <v>15</v>
      </c>
      <c r="I750">
        <v>3</v>
      </c>
      <c r="J750" t="s">
        <v>22</v>
      </c>
      <c r="K750" t="s">
        <v>32</v>
      </c>
      <c r="L750">
        <v>69</v>
      </c>
      <c r="M750" t="str">
        <f t="shared" si="11"/>
        <v>Old Aged</v>
      </c>
      <c r="N750" t="s">
        <v>18</v>
      </c>
    </row>
    <row r="751" spans="1:14" x14ac:dyDescent="0.3">
      <c r="A751">
        <v>20514</v>
      </c>
      <c r="B751" t="s">
        <v>36</v>
      </c>
      <c r="C751" t="s">
        <v>38</v>
      </c>
      <c r="D751" s="6">
        <v>70000</v>
      </c>
      <c r="E751">
        <v>2</v>
      </c>
      <c r="F751" t="s">
        <v>19</v>
      </c>
      <c r="G751" t="s">
        <v>21</v>
      </c>
      <c r="H751" t="s">
        <v>15</v>
      </c>
      <c r="I751">
        <v>1</v>
      </c>
      <c r="J751" t="s">
        <v>22</v>
      </c>
      <c r="K751" t="s">
        <v>32</v>
      </c>
      <c r="L751">
        <v>59</v>
      </c>
      <c r="M751" t="str">
        <f t="shared" si="11"/>
        <v>Old Aged</v>
      </c>
      <c r="N751" t="s">
        <v>18</v>
      </c>
    </row>
    <row r="752" spans="1:14" x14ac:dyDescent="0.3">
      <c r="A752">
        <v>20758</v>
      </c>
      <c r="B752" t="s">
        <v>36</v>
      </c>
      <c r="C752" t="s">
        <v>39</v>
      </c>
      <c r="D752" s="6">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39</v>
      </c>
      <c r="D753" s="6">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39</v>
      </c>
      <c r="D754" s="6">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6">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6">
        <v>40000</v>
      </c>
      <c r="E756">
        <v>4</v>
      </c>
      <c r="F756" t="s">
        <v>27</v>
      </c>
      <c r="G756" t="s">
        <v>21</v>
      </c>
      <c r="H756" t="s">
        <v>15</v>
      </c>
      <c r="I756">
        <v>2</v>
      </c>
      <c r="J756" t="s">
        <v>23</v>
      </c>
      <c r="K756" t="s">
        <v>32</v>
      </c>
      <c r="L756">
        <v>59</v>
      </c>
      <c r="M756" t="str">
        <f t="shared" si="11"/>
        <v>Old Aged</v>
      </c>
      <c r="N756" t="s">
        <v>15</v>
      </c>
    </row>
    <row r="757" spans="1:14" x14ac:dyDescent="0.3">
      <c r="A757">
        <v>27441</v>
      </c>
      <c r="B757" t="s">
        <v>36</v>
      </c>
      <c r="C757" t="s">
        <v>39</v>
      </c>
      <c r="D757" s="6">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39</v>
      </c>
      <c r="D758" s="6">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39</v>
      </c>
      <c r="D759" s="6">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38</v>
      </c>
      <c r="D760" s="6">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6">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39</v>
      </c>
      <c r="D762" s="6">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38</v>
      </c>
      <c r="D763" s="6">
        <v>60000</v>
      </c>
      <c r="E763">
        <v>5</v>
      </c>
      <c r="F763" t="s">
        <v>13</v>
      </c>
      <c r="G763" t="s">
        <v>28</v>
      </c>
      <c r="H763" t="s">
        <v>15</v>
      </c>
      <c r="I763">
        <v>3</v>
      </c>
      <c r="J763" t="s">
        <v>46</v>
      </c>
      <c r="K763" t="s">
        <v>32</v>
      </c>
      <c r="L763">
        <v>59</v>
      </c>
      <c r="M763" t="str">
        <f t="shared" si="11"/>
        <v>Old Aged</v>
      </c>
      <c r="N763" t="s">
        <v>18</v>
      </c>
    </row>
    <row r="764" spans="1:14" x14ac:dyDescent="0.3">
      <c r="A764">
        <v>20657</v>
      </c>
      <c r="B764" t="s">
        <v>37</v>
      </c>
      <c r="C764" t="s">
        <v>39</v>
      </c>
      <c r="D764" s="6">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39</v>
      </c>
      <c r="D765" s="6">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38</v>
      </c>
      <c r="D766" s="6">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6">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39</v>
      </c>
      <c r="D768" s="6">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38</v>
      </c>
      <c r="D769" s="6">
        <v>60000</v>
      </c>
      <c r="E769">
        <v>2</v>
      </c>
      <c r="F769" t="s">
        <v>19</v>
      </c>
      <c r="G769" t="s">
        <v>21</v>
      </c>
      <c r="H769" t="s">
        <v>15</v>
      </c>
      <c r="I769">
        <v>2</v>
      </c>
      <c r="J769" t="s">
        <v>22</v>
      </c>
      <c r="K769" t="s">
        <v>32</v>
      </c>
      <c r="L769">
        <v>57</v>
      </c>
      <c r="M769" t="str">
        <f t="shared" si="11"/>
        <v>Old Aged</v>
      </c>
      <c r="N769" t="s">
        <v>15</v>
      </c>
    </row>
    <row r="770" spans="1:14" x14ac:dyDescent="0.3">
      <c r="A770">
        <v>13313</v>
      </c>
      <c r="B770" t="s">
        <v>36</v>
      </c>
      <c r="C770" t="s">
        <v>38</v>
      </c>
      <c r="D770" s="6">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38</v>
      </c>
      <c r="D771" s="6">
        <v>100000</v>
      </c>
      <c r="E771">
        <v>4</v>
      </c>
      <c r="F771" t="s">
        <v>13</v>
      </c>
      <c r="G771" t="s">
        <v>28</v>
      </c>
      <c r="H771" t="s">
        <v>15</v>
      </c>
      <c r="I771">
        <v>4</v>
      </c>
      <c r="J771" t="s">
        <v>16</v>
      </c>
      <c r="K771" t="s">
        <v>32</v>
      </c>
      <c r="L771">
        <v>40</v>
      </c>
      <c r="M771" t="str">
        <f t="shared" ref="M771:M834" si="12">IF(L771 &gt; 54, "Old Aged", IF($L771 &gt;= 31,"Middle Aged", "Adolescent"))</f>
        <v>Middle Aged</v>
      </c>
      <c r="N771" t="s">
        <v>18</v>
      </c>
    </row>
    <row r="772" spans="1:14" x14ac:dyDescent="0.3">
      <c r="A772">
        <v>17699</v>
      </c>
      <c r="B772" t="s">
        <v>36</v>
      </c>
      <c r="C772" t="s">
        <v>39</v>
      </c>
      <c r="D772" s="6">
        <v>60000</v>
      </c>
      <c r="E772">
        <v>1</v>
      </c>
      <c r="F772" t="s">
        <v>31</v>
      </c>
      <c r="G772" t="s">
        <v>14</v>
      </c>
      <c r="H772" t="s">
        <v>18</v>
      </c>
      <c r="I772">
        <v>0</v>
      </c>
      <c r="J772" t="s">
        <v>16</v>
      </c>
      <c r="K772" t="s">
        <v>32</v>
      </c>
      <c r="L772">
        <v>55</v>
      </c>
      <c r="M772" t="str">
        <f t="shared" si="12"/>
        <v>Old Aged</v>
      </c>
      <c r="N772" t="s">
        <v>18</v>
      </c>
    </row>
    <row r="773" spans="1:14" x14ac:dyDescent="0.3">
      <c r="A773">
        <v>14657</v>
      </c>
      <c r="B773" t="s">
        <v>36</v>
      </c>
      <c r="C773" t="s">
        <v>39</v>
      </c>
      <c r="D773" s="6">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39</v>
      </c>
      <c r="D774" s="6">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38</v>
      </c>
      <c r="D775" s="6">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38</v>
      </c>
      <c r="D776" s="6">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39</v>
      </c>
      <c r="D777" s="6">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39</v>
      </c>
      <c r="D778" s="6">
        <v>70000</v>
      </c>
      <c r="E778">
        <v>2</v>
      </c>
      <c r="F778" t="s">
        <v>13</v>
      </c>
      <c r="G778" t="s">
        <v>28</v>
      </c>
      <c r="H778" t="s">
        <v>18</v>
      </c>
      <c r="I778">
        <v>1</v>
      </c>
      <c r="J778" t="s">
        <v>22</v>
      </c>
      <c r="K778" t="s">
        <v>32</v>
      </c>
      <c r="L778">
        <v>59</v>
      </c>
      <c r="M778" t="str">
        <f t="shared" si="12"/>
        <v>Old Aged</v>
      </c>
      <c r="N778" t="s">
        <v>15</v>
      </c>
    </row>
    <row r="779" spans="1:14" x14ac:dyDescent="0.3">
      <c r="A779">
        <v>13151</v>
      </c>
      <c r="B779" t="s">
        <v>37</v>
      </c>
      <c r="C779" t="s">
        <v>39</v>
      </c>
      <c r="D779" s="6">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6">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39</v>
      </c>
      <c r="D781" s="6">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38</v>
      </c>
      <c r="D782" s="6">
        <v>60000</v>
      </c>
      <c r="E782">
        <v>2</v>
      </c>
      <c r="F782" t="s">
        <v>19</v>
      </c>
      <c r="G782" t="s">
        <v>21</v>
      </c>
      <c r="H782" t="s">
        <v>15</v>
      </c>
      <c r="I782">
        <v>1</v>
      </c>
      <c r="J782" t="s">
        <v>46</v>
      </c>
      <c r="K782" t="s">
        <v>32</v>
      </c>
      <c r="L782">
        <v>55</v>
      </c>
      <c r="M782" t="str">
        <f t="shared" si="12"/>
        <v>Old Aged</v>
      </c>
      <c r="N782" t="s">
        <v>18</v>
      </c>
    </row>
    <row r="783" spans="1:14" x14ac:dyDescent="0.3">
      <c r="A783">
        <v>19660</v>
      </c>
      <c r="B783" t="s">
        <v>36</v>
      </c>
      <c r="C783" t="s">
        <v>39</v>
      </c>
      <c r="D783" s="6">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39</v>
      </c>
      <c r="D784" s="6">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39</v>
      </c>
      <c r="D785" s="6">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6">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38</v>
      </c>
      <c r="D787" s="6">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6">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6">
        <v>70000</v>
      </c>
      <c r="E789">
        <v>2</v>
      </c>
      <c r="F789" t="s">
        <v>13</v>
      </c>
      <c r="G789" t="s">
        <v>28</v>
      </c>
      <c r="H789" t="s">
        <v>18</v>
      </c>
      <c r="I789">
        <v>1</v>
      </c>
      <c r="J789" t="s">
        <v>22</v>
      </c>
      <c r="K789" t="s">
        <v>32</v>
      </c>
      <c r="L789">
        <v>59</v>
      </c>
      <c r="M789" t="str">
        <f t="shared" si="12"/>
        <v>Old Aged</v>
      </c>
      <c r="N789" t="s">
        <v>15</v>
      </c>
    </row>
    <row r="790" spans="1:14" x14ac:dyDescent="0.3">
      <c r="A790">
        <v>26270</v>
      </c>
      <c r="B790" t="s">
        <v>37</v>
      </c>
      <c r="C790" t="s">
        <v>38</v>
      </c>
      <c r="D790" s="6">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39</v>
      </c>
      <c r="D791" s="6">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6">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39</v>
      </c>
      <c r="D793" s="6">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6">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39</v>
      </c>
      <c r="D795" s="6">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39</v>
      </c>
      <c r="D796" s="6">
        <v>50000</v>
      </c>
      <c r="E796">
        <v>2</v>
      </c>
      <c r="F796" t="s">
        <v>31</v>
      </c>
      <c r="G796" t="s">
        <v>28</v>
      </c>
      <c r="H796" t="s">
        <v>15</v>
      </c>
      <c r="I796">
        <v>2</v>
      </c>
      <c r="J796" t="s">
        <v>23</v>
      </c>
      <c r="K796" t="s">
        <v>32</v>
      </c>
      <c r="L796">
        <v>69</v>
      </c>
      <c r="M796" t="str">
        <f t="shared" si="12"/>
        <v>Old Aged</v>
      </c>
      <c r="N796" t="s">
        <v>18</v>
      </c>
    </row>
    <row r="797" spans="1:14" x14ac:dyDescent="0.3">
      <c r="A797">
        <v>21306</v>
      </c>
      <c r="B797" t="s">
        <v>37</v>
      </c>
      <c r="C797" t="s">
        <v>39</v>
      </c>
      <c r="D797" s="6">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39</v>
      </c>
      <c r="D798" s="6">
        <v>70000</v>
      </c>
      <c r="E798">
        <v>5</v>
      </c>
      <c r="F798" t="s">
        <v>19</v>
      </c>
      <c r="G798" t="s">
        <v>21</v>
      </c>
      <c r="H798" t="s">
        <v>15</v>
      </c>
      <c r="I798">
        <v>2</v>
      </c>
      <c r="J798" t="s">
        <v>26</v>
      </c>
      <c r="K798" t="s">
        <v>32</v>
      </c>
      <c r="L798">
        <v>57</v>
      </c>
      <c r="M798" t="str">
        <f t="shared" si="12"/>
        <v>Old Aged</v>
      </c>
      <c r="N798" t="s">
        <v>15</v>
      </c>
    </row>
    <row r="799" spans="1:14" x14ac:dyDescent="0.3">
      <c r="A799">
        <v>20310</v>
      </c>
      <c r="B799" t="s">
        <v>37</v>
      </c>
      <c r="C799" t="s">
        <v>39</v>
      </c>
      <c r="D799" s="6">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6">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6">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39</v>
      </c>
      <c r="D802" s="6">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39</v>
      </c>
      <c r="D803" s="6">
        <v>70000</v>
      </c>
      <c r="E803">
        <v>4</v>
      </c>
      <c r="F803" t="s">
        <v>31</v>
      </c>
      <c r="G803" t="s">
        <v>28</v>
      </c>
      <c r="H803" t="s">
        <v>15</v>
      </c>
      <c r="I803">
        <v>2</v>
      </c>
      <c r="J803" t="s">
        <v>23</v>
      </c>
      <c r="K803" t="s">
        <v>32</v>
      </c>
      <c r="L803">
        <v>73</v>
      </c>
      <c r="M803" t="str">
        <f t="shared" si="12"/>
        <v>Old Aged</v>
      </c>
      <c r="N803" t="s">
        <v>18</v>
      </c>
    </row>
    <row r="804" spans="1:14" x14ac:dyDescent="0.3">
      <c r="A804">
        <v>28090</v>
      </c>
      <c r="B804" t="s">
        <v>36</v>
      </c>
      <c r="C804" t="s">
        <v>39</v>
      </c>
      <c r="D804" s="6">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6">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6">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6">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38</v>
      </c>
      <c r="D808" s="6">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38</v>
      </c>
      <c r="D809" s="6">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39</v>
      </c>
      <c r="D810" s="6">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38</v>
      </c>
      <c r="D811" s="6">
        <v>40000</v>
      </c>
      <c r="E811">
        <v>4</v>
      </c>
      <c r="F811" t="s">
        <v>27</v>
      </c>
      <c r="G811" t="s">
        <v>21</v>
      </c>
      <c r="H811" t="s">
        <v>15</v>
      </c>
      <c r="I811">
        <v>2</v>
      </c>
      <c r="J811" t="s">
        <v>23</v>
      </c>
      <c r="K811" t="s">
        <v>32</v>
      </c>
      <c r="L811">
        <v>69</v>
      </c>
      <c r="M811" t="str">
        <f t="shared" si="12"/>
        <v>Old Aged</v>
      </c>
      <c r="N811" t="s">
        <v>18</v>
      </c>
    </row>
    <row r="812" spans="1:14" x14ac:dyDescent="0.3">
      <c r="A812">
        <v>20376</v>
      </c>
      <c r="B812" t="s">
        <v>37</v>
      </c>
      <c r="C812" t="s">
        <v>38</v>
      </c>
      <c r="D812" s="6">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39</v>
      </c>
      <c r="D813" s="6">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6">
        <v>70000</v>
      </c>
      <c r="E814">
        <v>4</v>
      </c>
      <c r="F814" t="s">
        <v>13</v>
      </c>
      <c r="G814" t="s">
        <v>28</v>
      </c>
      <c r="H814" t="s">
        <v>15</v>
      </c>
      <c r="I814">
        <v>2</v>
      </c>
      <c r="J814" t="s">
        <v>46</v>
      </c>
      <c r="K814" t="s">
        <v>32</v>
      </c>
      <c r="L814">
        <v>61</v>
      </c>
      <c r="M814" t="str">
        <f t="shared" si="12"/>
        <v>Old Aged</v>
      </c>
      <c r="N814" t="s">
        <v>18</v>
      </c>
    </row>
    <row r="815" spans="1:14" x14ac:dyDescent="0.3">
      <c r="A815">
        <v>25899</v>
      </c>
      <c r="B815" t="s">
        <v>36</v>
      </c>
      <c r="C815" t="s">
        <v>38</v>
      </c>
      <c r="D815" s="6">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38</v>
      </c>
      <c r="D816" s="6">
        <v>70000</v>
      </c>
      <c r="E816">
        <v>4</v>
      </c>
      <c r="F816" t="s">
        <v>13</v>
      </c>
      <c r="G816" t="s">
        <v>28</v>
      </c>
      <c r="H816" t="s">
        <v>15</v>
      </c>
      <c r="I816">
        <v>2</v>
      </c>
      <c r="J816" t="s">
        <v>26</v>
      </c>
      <c r="K816" t="s">
        <v>32</v>
      </c>
      <c r="L816">
        <v>62</v>
      </c>
      <c r="M816" t="str">
        <f t="shared" si="12"/>
        <v>Old Aged</v>
      </c>
      <c r="N816" t="s">
        <v>15</v>
      </c>
    </row>
    <row r="817" spans="1:14" x14ac:dyDescent="0.3">
      <c r="A817">
        <v>23333</v>
      </c>
      <c r="B817" t="s">
        <v>36</v>
      </c>
      <c r="C817" t="s">
        <v>39</v>
      </c>
      <c r="D817" s="6">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6">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38</v>
      </c>
      <c r="D819" s="6">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39</v>
      </c>
      <c r="D820" s="6">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6">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6">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39</v>
      </c>
      <c r="D823" s="6">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39</v>
      </c>
      <c r="D824" s="6">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6">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39</v>
      </c>
      <c r="D826" s="6">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39</v>
      </c>
      <c r="D827" s="6">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39</v>
      </c>
      <c r="D828" s="6">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6">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6">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6">
        <v>170000</v>
      </c>
      <c r="E831">
        <v>1</v>
      </c>
      <c r="F831" t="s">
        <v>31</v>
      </c>
      <c r="G831" t="s">
        <v>28</v>
      </c>
      <c r="H831" t="s">
        <v>18</v>
      </c>
      <c r="I831">
        <v>4</v>
      </c>
      <c r="J831" t="s">
        <v>16</v>
      </c>
      <c r="K831" t="s">
        <v>32</v>
      </c>
      <c r="L831">
        <v>66</v>
      </c>
      <c r="M831" t="str">
        <f t="shared" si="12"/>
        <v>Old Aged</v>
      </c>
      <c r="N831" t="s">
        <v>18</v>
      </c>
    </row>
    <row r="832" spans="1:14" x14ac:dyDescent="0.3">
      <c r="A832">
        <v>18411</v>
      </c>
      <c r="B832" t="s">
        <v>36</v>
      </c>
      <c r="C832" t="s">
        <v>39</v>
      </c>
      <c r="D832" s="6">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38</v>
      </c>
      <c r="D833" s="6">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38</v>
      </c>
      <c r="D834" s="6">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6">
        <v>70000</v>
      </c>
      <c r="E835">
        <v>0</v>
      </c>
      <c r="F835" t="s">
        <v>13</v>
      </c>
      <c r="G835" t="s">
        <v>21</v>
      </c>
      <c r="H835" t="s">
        <v>18</v>
      </c>
      <c r="I835">
        <v>1</v>
      </c>
      <c r="J835" t="s">
        <v>16</v>
      </c>
      <c r="K835" t="s">
        <v>32</v>
      </c>
      <c r="L835">
        <v>37</v>
      </c>
      <c r="M835" t="str">
        <f t="shared" ref="M835:M898" si="13">IF(L835 &gt; 54, "Old Aged", IF($L835 &gt;= 31,"Middle Aged", "Adolescent"))</f>
        <v>Middle Aged</v>
      </c>
      <c r="N835" t="s">
        <v>15</v>
      </c>
    </row>
    <row r="836" spans="1:14" x14ac:dyDescent="0.3">
      <c r="A836">
        <v>19889</v>
      </c>
      <c r="B836" t="s">
        <v>37</v>
      </c>
      <c r="C836" t="s">
        <v>38</v>
      </c>
      <c r="D836" s="6">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38</v>
      </c>
      <c r="D837" s="6">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38</v>
      </c>
      <c r="D838" s="6">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6">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6">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6">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39</v>
      </c>
      <c r="D842" s="6">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39</v>
      </c>
      <c r="D843" s="6">
        <v>120000</v>
      </c>
      <c r="E843">
        <v>2</v>
      </c>
      <c r="F843" t="s">
        <v>31</v>
      </c>
      <c r="G843" t="s">
        <v>28</v>
      </c>
      <c r="H843" t="s">
        <v>15</v>
      </c>
      <c r="I843">
        <v>3</v>
      </c>
      <c r="J843" t="s">
        <v>23</v>
      </c>
      <c r="K843" t="s">
        <v>32</v>
      </c>
      <c r="L843">
        <v>64</v>
      </c>
      <c r="M843" t="str">
        <f t="shared" si="13"/>
        <v>Old Aged</v>
      </c>
      <c r="N843" t="s">
        <v>18</v>
      </c>
    </row>
    <row r="844" spans="1:14" x14ac:dyDescent="0.3">
      <c r="A844">
        <v>15555</v>
      </c>
      <c r="B844" t="s">
        <v>36</v>
      </c>
      <c r="C844" t="s">
        <v>38</v>
      </c>
      <c r="D844" s="6">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39</v>
      </c>
      <c r="D845" s="6">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38</v>
      </c>
      <c r="D846" s="6">
        <v>40000</v>
      </c>
      <c r="E846">
        <v>5</v>
      </c>
      <c r="F846" t="s">
        <v>27</v>
      </c>
      <c r="G846" t="s">
        <v>21</v>
      </c>
      <c r="H846" t="s">
        <v>15</v>
      </c>
      <c r="I846">
        <v>2</v>
      </c>
      <c r="J846" t="s">
        <v>46</v>
      </c>
      <c r="K846" t="s">
        <v>32</v>
      </c>
      <c r="L846">
        <v>60</v>
      </c>
      <c r="M846" t="str">
        <f t="shared" si="13"/>
        <v>Old Aged</v>
      </c>
      <c r="N846" t="s">
        <v>18</v>
      </c>
    </row>
    <row r="847" spans="1:14" x14ac:dyDescent="0.3">
      <c r="A847">
        <v>25343</v>
      </c>
      <c r="B847" t="s">
        <v>37</v>
      </c>
      <c r="C847" t="s">
        <v>38</v>
      </c>
      <c r="D847" s="6">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38</v>
      </c>
      <c r="D848" s="6">
        <v>70000</v>
      </c>
      <c r="E848">
        <v>4</v>
      </c>
      <c r="F848" t="s">
        <v>19</v>
      </c>
      <c r="G848" t="s">
        <v>21</v>
      </c>
      <c r="H848" t="s">
        <v>18</v>
      </c>
      <c r="I848">
        <v>1</v>
      </c>
      <c r="J848" t="s">
        <v>26</v>
      </c>
      <c r="K848" t="s">
        <v>32</v>
      </c>
      <c r="L848">
        <v>56</v>
      </c>
      <c r="M848" t="str">
        <f t="shared" si="13"/>
        <v>Old Aged</v>
      </c>
      <c r="N848" t="s">
        <v>18</v>
      </c>
    </row>
    <row r="849" spans="1:14" x14ac:dyDescent="0.3">
      <c r="A849">
        <v>17482</v>
      </c>
      <c r="B849" t="s">
        <v>37</v>
      </c>
      <c r="C849" t="s">
        <v>38</v>
      </c>
      <c r="D849" s="6">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6">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38</v>
      </c>
      <c r="D851" s="6">
        <v>40000</v>
      </c>
      <c r="E851">
        <v>5</v>
      </c>
      <c r="F851" t="s">
        <v>27</v>
      </c>
      <c r="G851" t="s">
        <v>21</v>
      </c>
      <c r="H851" t="s">
        <v>18</v>
      </c>
      <c r="I851">
        <v>2</v>
      </c>
      <c r="J851" t="s">
        <v>22</v>
      </c>
      <c r="K851" t="s">
        <v>32</v>
      </c>
      <c r="L851">
        <v>60</v>
      </c>
      <c r="M851" t="str">
        <f t="shared" si="13"/>
        <v>Old Aged</v>
      </c>
      <c r="N851" t="s">
        <v>18</v>
      </c>
    </row>
    <row r="852" spans="1:14" x14ac:dyDescent="0.3">
      <c r="A852">
        <v>12205</v>
      </c>
      <c r="B852" t="s">
        <v>37</v>
      </c>
      <c r="C852" t="s">
        <v>38</v>
      </c>
      <c r="D852" s="6">
        <v>130000</v>
      </c>
      <c r="E852">
        <v>2</v>
      </c>
      <c r="F852" t="s">
        <v>13</v>
      </c>
      <c r="G852" t="s">
        <v>28</v>
      </c>
      <c r="H852" t="s">
        <v>18</v>
      </c>
      <c r="I852">
        <v>4</v>
      </c>
      <c r="J852" t="s">
        <v>16</v>
      </c>
      <c r="K852" t="s">
        <v>32</v>
      </c>
      <c r="L852">
        <v>67</v>
      </c>
      <c r="M852" t="str">
        <f t="shared" si="13"/>
        <v>Old Aged</v>
      </c>
      <c r="N852" t="s">
        <v>18</v>
      </c>
    </row>
    <row r="853" spans="1:14" x14ac:dyDescent="0.3">
      <c r="A853">
        <v>16751</v>
      </c>
      <c r="B853" t="s">
        <v>36</v>
      </c>
      <c r="C853" t="s">
        <v>39</v>
      </c>
      <c r="D853" s="6">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39</v>
      </c>
      <c r="D854" s="6">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39</v>
      </c>
      <c r="D855" s="6">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38</v>
      </c>
      <c r="D856" s="6">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6">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39</v>
      </c>
      <c r="D858" s="6">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6">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39</v>
      </c>
      <c r="D860" s="6">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39</v>
      </c>
      <c r="D861" s="6">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39</v>
      </c>
      <c r="D862" s="6">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38</v>
      </c>
      <c r="D863" s="6">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39</v>
      </c>
      <c r="D864" s="6">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39</v>
      </c>
      <c r="D865" s="6">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39</v>
      </c>
      <c r="D866" s="6">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6">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39</v>
      </c>
      <c r="D868" s="6">
        <v>60000</v>
      </c>
      <c r="E868">
        <v>2</v>
      </c>
      <c r="F868" t="s">
        <v>27</v>
      </c>
      <c r="G868" t="s">
        <v>21</v>
      </c>
      <c r="H868" t="s">
        <v>15</v>
      </c>
      <c r="I868">
        <v>2</v>
      </c>
      <c r="J868" t="s">
        <v>46</v>
      </c>
      <c r="K868" t="s">
        <v>32</v>
      </c>
      <c r="L868">
        <v>55</v>
      </c>
      <c r="M868" t="str">
        <f t="shared" si="13"/>
        <v>Old Aged</v>
      </c>
      <c r="N868" t="s">
        <v>18</v>
      </c>
    </row>
    <row r="869" spans="1:14" x14ac:dyDescent="0.3">
      <c r="A869">
        <v>26693</v>
      </c>
      <c r="B869" t="s">
        <v>36</v>
      </c>
      <c r="C869" t="s">
        <v>39</v>
      </c>
      <c r="D869" s="6">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39</v>
      </c>
      <c r="D870" s="6">
        <v>30000</v>
      </c>
      <c r="E870">
        <v>5</v>
      </c>
      <c r="F870" t="s">
        <v>29</v>
      </c>
      <c r="G870" t="s">
        <v>14</v>
      </c>
      <c r="H870" t="s">
        <v>15</v>
      </c>
      <c r="I870">
        <v>3</v>
      </c>
      <c r="J870" t="s">
        <v>46</v>
      </c>
      <c r="K870" t="s">
        <v>32</v>
      </c>
      <c r="L870">
        <v>60</v>
      </c>
      <c r="M870" t="str">
        <f t="shared" si="13"/>
        <v>Old Aged</v>
      </c>
      <c r="N870" t="s">
        <v>15</v>
      </c>
    </row>
    <row r="871" spans="1:14" x14ac:dyDescent="0.3">
      <c r="A871">
        <v>26065</v>
      </c>
      <c r="B871" t="s">
        <v>37</v>
      </c>
      <c r="C871" t="s">
        <v>38</v>
      </c>
      <c r="D871" s="6">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39</v>
      </c>
      <c r="D872" s="6">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39</v>
      </c>
      <c r="D873" s="6">
        <v>60000</v>
      </c>
      <c r="E873">
        <v>2</v>
      </c>
      <c r="F873" t="s">
        <v>27</v>
      </c>
      <c r="G873" t="s">
        <v>21</v>
      </c>
      <c r="H873" t="s">
        <v>15</v>
      </c>
      <c r="I873">
        <v>2</v>
      </c>
      <c r="J873" t="s">
        <v>46</v>
      </c>
      <c r="K873" t="s">
        <v>32</v>
      </c>
      <c r="L873">
        <v>55</v>
      </c>
      <c r="M873" t="str">
        <f t="shared" si="13"/>
        <v>Old Aged</v>
      </c>
      <c r="N873" t="s">
        <v>18</v>
      </c>
    </row>
    <row r="874" spans="1:14" x14ac:dyDescent="0.3">
      <c r="A874">
        <v>22118</v>
      </c>
      <c r="B874" t="s">
        <v>37</v>
      </c>
      <c r="C874" t="s">
        <v>38</v>
      </c>
      <c r="D874" s="6">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39</v>
      </c>
      <c r="D875" s="6">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38</v>
      </c>
      <c r="D876" s="6">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38</v>
      </c>
      <c r="D877" s="6">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39</v>
      </c>
      <c r="D878" s="6">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6">
        <v>70000</v>
      </c>
      <c r="E879">
        <v>5</v>
      </c>
      <c r="F879" t="s">
        <v>13</v>
      </c>
      <c r="G879" t="s">
        <v>28</v>
      </c>
      <c r="H879" t="s">
        <v>15</v>
      </c>
      <c r="I879">
        <v>2</v>
      </c>
      <c r="J879" t="s">
        <v>22</v>
      </c>
      <c r="K879" t="s">
        <v>32</v>
      </c>
      <c r="L879">
        <v>61</v>
      </c>
      <c r="M879" t="str">
        <f t="shared" si="13"/>
        <v>Old Aged</v>
      </c>
      <c r="N879" t="s">
        <v>18</v>
      </c>
    </row>
    <row r="880" spans="1:14" x14ac:dyDescent="0.3">
      <c r="A880">
        <v>28278</v>
      </c>
      <c r="B880" t="s">
        <v>36</v>
      </c>
      <c r="C880" t="s">
        <v>39</v>
      </c>
      <c r="D880" s="6">
        <v>50000</v>
      </c>
      <c r="E880">
        <v>2</v>
      </c>
      <c r="F880" t="s">
        <v>31</v>
      </c>
      <c r="G880" t="s">
        <v>28</v>
      </c>
      <c r="H880" t="s">
        <v>15</v>
      </c>
      <c r="I880">
        <v>2</v>
      </c>
      <c r="J880" t="s">
        <v>23</v>
      </c>
      <c r="K880" t="s">
        <v>32</v>
      </c>
      <c r="L880">
        <v>71</v>
      </c>
      <c r="M880" t="str">
        <f t="shared" si="13"/>
        <v>Old Aged</v>
      </c>
      <c r="N880" t="s">
        <v>18</v>
      </c>
    </row>
    <row r="881" spans="1:14" x14ac:dyDescent="0.3">
      <c r="A881">
        <v>24416</v>
      </c>
      <c r="B881" t="s">
        <v>36</v>
      </c>
      <c r="C881" t="s">
        <v>39</v>
      </c>
      <c r="D881" s="6">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39</v>
      </c>
      <c r="D882" s="6">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38</v>
      </c>
      <c r="D883" s="6">
        <v>80000</v>
      </c>
      <c r="E883">
        <v>4</v>
      </c>
      <c r="F883" t="s">
        <v>31</v>
      </c>
      <c r="G883" t="s">
        <v>28</v>
      </c>
      <c r="H883" t="s">
        <v>15</v>
      </c>
      <c r="I883">
        <v>2</v>
      </c>
      <c r="J883" t="s">
        <v>16</v>
      </c>
      <c r="K883" t="s">
        <v>32</v>
      </c>
      <c r="L883">
        <v>72</v>
      </c>
      <c r="M883" t="str">
        <f t="shared" si="13"/>
        <v>Old Aged</v>
      </c>
      <c r="N883" t="s">
        <v>15</v>
      </c>
    </row>
    <row r="884" spans="1:14" x14ac:dyDescent="0.3">
      <c r="A884">
        <v>14872</v>
      </c>
      <c r="B884" t="s">
        <v>36</v>
      </c>
      <c r="C884" t="s">
        <v>39</v>
      </c>
      <c r="D884" s="6">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38</v>
      </c>
      <c r="D885" s="6">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39</v>
      </c>
      <c r="D886" s="6">
        <v>80000</v>
      </c>
      <c r="E886">
        <v>4</v>
      </c>
      <c r="F886" t="s">
        <v>31</v>
      </c>
      <c r="G886" t="s">
        <v>28</v>
      </c>
      <c r="H886" t="s">
        <v>15</v>
      </c>
      <c r="I886">
        <v>2</v>
      </c>
      <c r="J886" t="s">
        <v>23</v>
      </c>
      <c r="K886" t="s">
        <v>32</v>
      </c>
      <c r="L886">
        <v>68</v>
      </c>
      <c r="M886" t="str">
        <f t="shared" si="13"/>
        <v>Old Aged</v>
      </c>
      <c r="N886" t="s">
        <v>18</v>
      </c>
    </row>
    <row r="887" spans="1:14" x14ac:dyDescent="0.3">
      <c r="A887">
        <v>23801</v>
      </c>
      <c r="B887" t="s">
        <v>36</v>
      </c>
      <c r="C887" t="s">
        <v>38</v>
      </c>
      <c r="D887" s="6">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39</v>
      </c>
      <c r="D888" s="6">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39</v>
      </c>
      <c r="D889" s="6">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6">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38</v>
      </c>
      <c r="D891" s="6">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38</v>
      </c>
      <c r="D892" s="6">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39</v>
      </c>
      <c r="D893" s="6">
        <v>100000</v>
      </c>
      <c r="E893">
        <v>1</v>
      </c>
      <c r="F893" t="s">
        <v>31</v>
      </c>
      <c r="G893" t="s">
        <v>28</v>
      </c>
      <c r="H893" t="s">
        <v>15</v>
      </c>
      <c r="I893">
        <v>3</v>
      </c>
      <c r="J893" t="s">
        <v>22</v>
      </c>
      <c r="K893" t="s">
        <v>32</v>
      </c>
      <c r="L893">
        <v>73</v>
      </c>
      <c r="M893" t="str">
        <f t="shared" si="13"/>
        <v>Old Aged</v>
      </c>
      <c r="N893" t="s">
        <v>15</v>
      </c>
    </row>
    <row r="894" spans="1:14" x14ac:dyDescent="0.3">
      <c r="A894">
        <v>17000</v>
      </c>
      <c r="B894" t="s">
        <v>37</v>
      </c>
      <c r="C894" t="s">
        <v>38</v>
      </c>
      <c r="D894" s="6">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39</v>
      </c>
      <c r="D895" s="6">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39</v>
      </c>
      <c r="D896" s="6">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38</v>
      </c>
      <c r="D897" s="6">
        <v>50000</v>
      </c>
      <c r="E897">
        <v>4</v>
      </c>
      <c r="F897" t="s">
        <v>13</v>
      </c>
      <c r="G897" t="s">
        <v>28</v>
      </c>
      <c r="H897" t="s">
        <v>15</v>
      </c>
      <c r="I897">
        <v>2</v>
      </c>
      <c r="J897" t="s">
        <v>26</v>
      </c>
      <c r="K897" t="s">
        <v>32</v>
      </c>
      <c r="L897">
        <v>64</v>
      </c>
      <c r="M897" t="str">
        <f t="shared" si="13"/>
        <v>Old Aged</v>
      </c>
      <c r="N897" t="s">
        <v>15</v>
      </c>
    </row>
    <row r="898" spans="1:14" x14ac:dyDescent="0.3">
      <c r="A898">
        <v>21583</v>
      </c>
      <c r="B898" t="s">
        <v>36</v>
      </c>
      <c r="C898" t="s">
        <v>38</v>
      </c>
      <c r="D898" s="6">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39</v>
      </c>
      <c r="D899" s="6">
        <v>30000</v>
      </c>
      <c r="E899">
        <v>0</v>
      </c>
      <c r="F899" t="s">
        <v>29</v>
      </c>
      <c r="G899" t="s">
        <v>20</v>
      </c>
      <c r="H899" t="s">
        <v>18</v>
      </c>
      <c r="I899">
        <v>2</v>
      </c>
      <c r="J899" t="s">
        <v>16</v>
      </c>
      <c r="K899" t="s">
        <v>32</v>
      </c>
      <c r="L899">
        <v>28</v>
      </c>
      <c r="M899" t="str">
        <f t="shared" ref="M899:M962" si="14">IF(L899 &gt; 54, "Old Aged", IF($L899 &gt;= 31,"Middle Aged", "Adolescent"))</f>
        <v>Adolescent</v>
      </c>
      <c r="N899" t="s">
        <v>18</v>
      </c>
    </row>
    <row r="900" spans="1:14" x14ac:dyDescent="0.3">
      <c r="A900">
        <v>18066</v>
      </c>
      <c r="B900" t="s">
        <v>37</v>
      </c>
      <c r="C900" t="s">
        <v>39</v>
      </c>
      <c r="D900" s="6">
        <v>70000</v>
      </c>
      <c r="E900">
        <v>5</v>
      </c>
      <c r="F900" t="s">
        <v>13</v>
      </c>
      <c r="G900" t="s">
        <v>28</v>
      </c>
      <c r="H900" t="s">
        <v>15</v>
      </c>
      <c r="I900">
        <v>3</v>
      </c>
      <c r="J900" t="s">
        <v>46</v>
      </c>
      <c r="K900" t="s">
        <v>32</v>
      </c>
      <c r="L900">
        <v>60</v>
      </c>
      <c r="M900" t="str">
        <f t="shared" si="14"/>
        <v>Old Aged</v>
      </c>
      <c r="N900" t="s">
        <v>15</v>
      </c>
    </row>
    <row r="901" spans="1:14" x14ac:dyDescent="0.3">
      <c r="A901">
        <v>28192</v>
      </c>
      <c r="B901" t="s">
        <v>36</v>
      </c>
      <c r="C901" t="s">
        <v>38</v>
      </c>
      <c r="D901" s="6">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39</v>
      </c>
      <c r="D902" s="6">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6">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39</v>
      </c>
      <c r="D904" s="6">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39</v>
      </c>
      <c r="D905" s="6">
        <v>90000</v>
      </c>
      <c r="E905">
        <v>4</v>
      </c>
      <c r="F905" t="s">
        <v>31</v>
      </c>
      <c r="G905" t="s">
        <v>28</v>
      </c>
      <c r="H905" t="s">
        <v>15</v>
      </c>
      <c r="I905">
        <v>1</v>
      </c>
      <c r="J905" t="s">
        <v>23</v>
      </c>
      <c r="K905" t="s">
        <v>32</v>
      </c>
      <c r="L905">
        <v>73</v>
      </c>
      <c r="M905" t="str">
        <f t="shared" si="14"/>
        <v>Old Aged</v>
      </c>
      <c r="N905" t="s">
        <v>18</v>
      </c>
    </row>
    <row r="906" spans="1:14" x14ac:dyDescent="0.3">
      <c r="A906">
        <v>26305</v>
      </c>
      <c r="B906" t="s">
        <v>37</v>
      </c>
      <c r="C906" t="s">
        <v>38</v>
      </c>
      <c r="D906" s="6">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39</v>
      </c>
      <c r="D907" s="6">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39</v>
      </c>
      <c r="D908" s="6">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39</v>
      </c>
      <c r="D909" s="6">
        <v>50000</v>
      </c>
      <c r="E909">
        <v>4</v>
      </c>
      <c r="F909" t="s">
        <v>13</v>
      </c>
      <c r="G909" t="s">
        <v>28</v>
      </c>
      <c r="H909" t="s">
        <v>15</v>
      </c>
      <c r="I909">
        <v>2</v>
      </c>
      <c r="J909" t="s">
        <v>46</v>
      </c>
      <c r="K909" t="s">
        <v>32</v>
      </c>
      <c r="L909">
        <v>63</v>
      </c>
      <c r="M909" t="str">
        <f t="shared" si="14"/>
        <v>Old Aged</v>
      </c>
      <c r="N909" t="s">
        <v>18</v>
      </c>
    </row>
    <row r="910" spans="1:14" x14ac:dyDescent="0.3">
      <c r="A910">
        <v>23195</v>
      </c>
      <c r="B910" t="s">
        <v>37</v>
      </c>
      <c r="C910" t="s">
        <v>39</v>
      </c>
      <c r="D910" s="6">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39</v>
      </c>
      <c r="D911" s="6">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39</v>
      </c>
      <c r="D912" s="6">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38</v>
      </c>
      <c r="D913" s="6">
        <v>80000</v>
      </c>
      <c r="E913">
        <v>5</v>
      </c>
      <c r="F913" t="s">
        <v>13</v>
      </c>
      <c r="G913" t="s">
        <v>28</v>
      </c>
      <c r="H913" t="s">
        <v>15</v>
      </c>
      <c r="I913">
        <v>2</v>
      </c>
      <c r="J913" t="s">
        <v>23</v>
      </c>
      <c r="K913" t="s">
        <v>32</v>
      </c>
      <c r="L913">
        <v>64</v>
      </c>
      <c r="M913" t="str">
        <f t="shared" si="14"/>
        <v>Old Aged</v>
      </c>
      <c r="N913" t="s">
        <v>18</v>
      </c>
    </row>
    <row r="914" spans="1:14" x14ac:dyDescent="0.3">
      <c r="A914">
        <v>27190</v>
      </c>
      <c r="B914" t="s">
        <v>36</v>
      </c>
      <c r="C914" t="s">
        <v>38</v>
      </c>
      <c r="D914" s="6">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39</v>
      </c>
      <c r="D915" s="6">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39</v>
      </c>
      <c r="D916" s="6">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39</v>
      </c>
      <c r="D917" s="6">
        <v>60000</v>
      </c>
      <c r="E917">
        <v>3</v>
      </c>
      <c r="F917" t="s">
        <v>31</v>
      </c>
      <c r="G917" t="s">
        <v>28</v>
      </c>
      <c r="H917" t="s">
        <v>15</v>
      </c>
      <c r="I917">
        <v>2</v>
      </c>
      <c r="J917" t="s">
        <v>46</v>
      </c>
      <c r="K917" t="s">
        <v>32</v>
      </c>
      <c r="L917">
        <v>64</v>
      </c>
      <c r="M917" t="str">
        <f t="shared" si="14"/>
        <v>Old Aged</v>
      </c>
      <c r="N917" t="s">
        <v>18</v>
      </c>
    </row>
    <row r="918" spans="1:14" x14ac:dyDescent="0.3">
      <c r="A918">
        <v>27273</v>
      </c>
      <c r="B918" t="s">
        <v>37</v>
      </c>
      <c r="C918" t="s">
        <v>39</v>
      </c>
      <c r="D918" s="6">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39</v>
      </c>
      <c r="D919" s="6">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38</v>
      </c>
      <c r="D920" s="6">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38</v>
      </c>
      <c r="D921" s="6">
        <v>40000</v>
      </c>
      <c r="E921">
        <v>4</v>
      </c>
      <c r="F921" t="s">
        <v>27</v>
      </c>
      <c r="G921" t="s">
        <v>21</v>
      </c>
      <c r="H921" t="s">
        <v>15</v>
      </c>
      <c r="I921">
        <v>2</v>
      </c>
      <c r="J921" t="s">
        <v>46</v>
      </c>
      <c r="K921" t="s">
        <v>32</v>
      </c>
      <c r="L921">
        <v>61</v>
      </c>
      <c r="M921" t="str">
        <f t="shared" si="14"/>
        <v>Old Aged</v>
      </c>
      <c r="N921" t="s">
        <v>18</v>
      </c>
    </row>
    <row r="922" spans="1:14" x14ac:dyDescent="0.3">
      <c r="A922">
        <v>20754</v>
      </c>
      <c r="B922" t="s">
        <v>36</v>
      </c>
      <c r="C922" t="s">
        <v>39</v>
      </c>
      <c r="D922" s="6">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38</v>
      </c>
      <c r="D923" s="6">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38</v>
      </c>
      <c r="D924" s="6">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39</v>
      </c>
      <c r="D925" s="6">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39</v>
      </c>
      <c r="D926" s="6">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6">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6">
        <v>40000</v>
      </c>
      <c r="E928">
        <v>2</v>
      </c>
      <c r="F928" t="s">
        <v>27</v>
      </c>
      <c r="G928" t="s">
        <v>21</v>
      </c>
      <c r="H928" t="s">
        <v>15</v>
      </c>
      <c r="I928">
        <v>2</v>
      </c>
      <c r="J928" t="s">
        <v>46</v>
      </c>
      <c r="K928" t="s">
        <v>32</v>
      </c>
      <c r="L928">
        <v>57</v>
      </c>
      <c r="M928" t="str">
        <f t="shared" si="14"/>
        <v>Old Aged</v>
      </c>
      <c r="N928" t="s">
        <v>18</v>
      </c>
    </row>
    <row r="929" spans="1:14" x14ac:dyDescent="0.3">
      <c r="A929">
        <v>11823</v>
      </c>
      <c r="B929" t="s">
        <v>36</v>
      </c>
      <c r="C929" t="s">
        <v>38</v>
      </c>
      <c r="D929" s="6">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39</v>
      </c>
      <c r="D930" s="6">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39</v>
      </c>
      <c r="D931" s="6">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39</v>
      </c>
      <c r="D932" s="6">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38</v>
      </c>
      <c r="D933" s="6">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6">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6">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6">
        <v>60000</v>
      </c>
      <c r="E936">
        <v>2</v>
      </c>
      <c r="F936" t="s">
        <v>13</v>
      </c>
      <c r="G936" t="s">
        <v>28</v>
      </c>
      <c r="H936" t="s">
        <v>15</v>
      </c>
      <c r="I936">
        <v>0</v>
      </c>
      <c r="J936" t="s">
        <v>22</v>
      </c>
      <c r="K936" t="s">
        <v>32</v>
      </c>
      <c r="L936">
        <v>59</v>
      </c>
      <c r="M936" t="str">
        <f t="shared" si="14"/>
        <v>Old Aged</v>
      </c>
      <c r="N936" t="s">
        <v>18</v>
      </c>
    </row>
    <row r="937" spans="1:14" x14ac:dyDescent="0.3">
      <c r="A937">
        <v>18050</v>
      </c>
      <c r="B937" t="s">
        <v>36</v>
      </c>
      <c r="C937" t="s">
        <v>38</v>
      </c>
      <c r="D937" s="6">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38</v>
      </c>
      <c r="D938" s="6">
        <v>60000</v>
      </c>
      <c r="E938">
        <v>4</v>
      </c>
      <c r="F938" t="s">
        <v>13</v>
      </c>
      <c r="G938" t="s">
        <v>28</v>
      </c>
      <c r="H938" t="s">
        <v>15</v>
      </c>
      <c r="I938">
        <v>2</v>
      </c>
      <c r="J938" t="s">
        <v>22</v>
      </c>
      <c r="K938" t="s">
        <v>32</v>
      </c>
      <c r="L938">
        <v>60</v>
      </c>
      <c r="M938" t="str">
        <f t="shared" si="14"/>
        <v>Old Aged</v>
      </c>
      <c r="N938" t="s">
        <v>18</v>
      </c>
    </row>
    <row r="939" spans="1:14" x14ac:dyDescent="0.3">
      <c r="A939">
        <v>11663</v>
      </c>
      <c r="B939" t="s">
        <v>36</v>
      </c>
      <c r="C939" t="s">
        <v>39</v>
      </c>
      <c r="D939" s="6">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38</v>
      </c>
      <c r="D940" s="6">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6">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38</v>
      </c>
      <c r="D942" s="6">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38</v>
      </c>
      <c r="D943" s="6">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38</v>
      </c>
      <c r="D944" s="6">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38</v>
      </c>
      <c r="D945" s="6">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38</v>
      </c>
      <c r="D946" s="6">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39</v>
      </c>
      <c r="D947" s="6">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38</v>
      </c>
      <c r="D948" s="6">
        <v>90000</v>
      </c>
      <c r="E948">
        <v>5</v>
      </c>
      <c r="F948" t="s">
        <v>13</v>
      </c>
      <c r="G948" t="s">
        <v>28</v>
      </c>
      <c r="H948" t="s">
        <v>15</v>
      </c>
      <c r="I948">
        <v>2</v>
      </c>
      <c r="J948" t="s">
        <v>26</v>
      </c>
      <c r="K948" t="s">
        <v>32</v>
      </c>
      <c r="L948">
        <v>63</v>
      </c>
      <c r="M948" t="str">
        <f t="shared" si="14"/>
        <v>Old Aged</v>
      </c>
      <c r="N948" t="s">
        <v>15</v>
      </c>
    </row>
    <row r="949" spans="1:14" x14ac:dyDescent="0.3">
      <c r="A949">
        <v>11303</v>
      </c>
      <c r="B949" t="s">
        <v>37</v>
      </c>
      <c r="C949" t="s">
        <v>38</v>
      </c>
      <c r="D949" s="6">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6">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39</v>
      </c>
      <c r="D951" s="6">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38</v>
      </c>
      <c r="D952" s="6">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39</v>
      </c>
      <c r="D953" s="6">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38</v>
      </c>
      <c r="D954" s="6">
        <v>70000</v>
      </c>
      <c r="E954">
        <v>4</v>
      </c>
      <c r="F954" t="s">
        <v>13</v>
      </c>
      <c r="G954" t="s">
        <v>28</v>
      </c>
      <c r="H954" t="s">
        <v>18</v>
      </c>
      <c r="I954">
        <v>1</v>
      </c>
      <c r="J954" t="s">
        <v>26</v>
      </c>
      <c r="K954" t="s">
        <v>32</v>
      </c>
      <c r="L954">
        <v>59</v>
      </c>
      <c r="M954" t="str">
        <f t="shared" si="14"/>
        <v>Old Aged</v>
      </c>
      <c r="N954" t="s">
        <v>18</v>
      </c>
    </row>
    <row r="955" spans="1:14" x14ac:dyDescent="0.3">
      <c r="A955">
        <v>17654</v>
      </c>
      <c r="B955" t="s">
        <v>37</v>
      </c>
      <c r="C955" t="s">
        <v>38</v>
      </c>
      <c r="D955" s="6">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6">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38</v>
      </c>
      <c r="D957" s="6">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38</v>
      </c>
      <c r="D958" s="6">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38</v>
      </c>
      <c r="D959" s="6">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6">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39</v>
      </c>
      <c r="D961" s="6">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39</v>
      </c>
      <c r="D962" s="6">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38</v>
      </c>
      <c r="D963" s="6">
        <v>120000</v>
      </c>
      <c r="E963">
        <v>2</v>
      </c>
      <c r="F963" t="s">
        <v>13</v>
      </c>
      <c r="G963" t="s">
        <v>28</v>
      </c>
      <c r="H963" t="s">
        <v>15</v>
      </c>
      <c r="I963">
        <v>3</v>
      </c>
      <c r="J963" t="s">
        <v>23</v>
      </c>
      <c r="K963" t="s">
        <v>32</v>
      </c>
      <c r="L963">
        <v>62</v>
      </c>
      <c r="M963" t="str">
        <f t="shared" ref="M963:M1001" si="15">IF(L963 &gt; 54, "Old Aged", IF($L963 &gt;= 31,"Middle Aged", "Adolescent"))</f>
        <v>Old Aged</v>
      </c>
      <c r="N963" t="s">
        <v>18</v>
      </c>
    </row>
    <row r="964" spans="1:14" x14ac:dyDescent="0.3">
      <c r="A964">
        <v>16813</v>
      </c>
      <c r="B964" t="s">
        <v>36</v>
      </c>
      <c r="C964" t="s">
        <v>39</v>
      </c>
      <c r="D964" s="6">
        <v>60000</v>
      </c>
      <c r="E964">
        <v>2</v>
      </c>
      <c r="F964" t="s">
        <v>19</v>
      </c>
      <c r="G964" t="s">
        <v>21</v>
      </c>
      <c r="H964" t="s">
        <v>15</v>
      </c>
      <c r="I964">
        <v>2</v>
      </c>
      <c r="J964" t="s">
        <v>46</v>
      </c>
      <c r="K964" t="s">
        <v>32</v>
      </c>
      <c r="L964">
        <v>55</v>
      </c>
      <c r="M964" t="str">
        <f t="shared" si="15"/>
        <v>Old Aged</v>
      </c>
      <c r="N964" t="s">
        <v>18</v>
      </c>
    </row>
    <row r="965" spans="1:14" x14ac:dyDescent="0.3">
      <c r="A965">
        <v>16007</v>
      </c>
      <c r="B965" t="s">
        <v>36</v>
      </c>
      <c r="C965" t="s">
        <v>38</v>
      </c>
      <c r="D965" s="6">
        <v>90000</v>
      </c>
      <c r="E965">
        <v>5</v>
      </c>
      <c r="F965" t="s">
        <v>13</v>
      </c>
      <c r="G965" t="s">
        <v>28</v>
      </c>
      <c r="H965" t="s">
        <v>15</v>
      </c>
      <c r="I965">
        <v>2</v>
      </c>
      <c r="J965" t="s">
        <v>26</v>
      </c>
      <c r="K965" t="s">
        <v>32</v>
      </c>
      <c r="L965">
        <v>66</v>
      </c>
      <c r="M965" t="str">
        <f t="shared" si="15"/>
        <v>Old Aged</v>
      </c>
      <c r="N965" t="s">
        <v>15</v>
      </c>
    </row>
    <row r="966" spans="1:14" x14ac:dyDescent="0.3">
      <c r="A966">
        <v>27434</v>
      </c>
      <c r="B966" t="s">
        <v>37</v>
      </c>
      <c r="C966" t="s">
        <v>39</v>
      </c>
      <c r="D966" s="6">
        <v>70000</v>
      </c>
      <c r="E966">
        <v>4</v>
      </c>
      <c r="F966" t="s">
        <v>19</v>
      </c>
      <c r="G966" t="s">
        <v>21</v>
      </c>
      <c r="H966" t="s">
        <v>15</v>
      </c>
      <c r="I966">
        <v>1</v>
      </c>
      <c r="J966" t="s">
        <v>46</v>
      </c>
      <c r="K966" t="s">
        <v>32</v>
      </c>
      <c r="L966">
        <v>56</v>
      </c>
      <c r="M966" t="str">
        <f t="shared" si="15"/>
        <v>Old Aged</v>
      </c>
      <c r="N966" t="s">
        <v>18</v>
      </c>
    </row>
    <row r="967" spans="1:14" x14ac:dyDescent="0.3">
      <c r="A967">
        <v>27756</v>
      </c>
      <c r="B967" t="s">
        <v>37</v>
      </c>
      <c r="C967" t="s">
        <v>38</v>
      </c>
      <c r="D967" s="6">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38</v>
      </c>
      <c r="D968" s="6">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39</v>
      </c>
      <c r="D969" s="6">
        <v>80000</v>
      </c>
      <c r="E969">
        <v>3</v>
      </c>
      <c r="F969" t="s">
        <v>13</v>
      </c>
      <c r="G969" t="s">
        <v>28</v>
      </c>
      <c r="H969" t="s">
        <v>15</v>
      </c>
      <c r="I969">
        <v>1</v>
      </c>
      <c r="J969" t="s">
        <v>26</v>
      </c>
      <c r="K969" t="s">
        <v>32</v>
      </c>
      <c r="L969">
        <v>56</v>
      </c>
      <c r="M969" t="str">
        <f t="shared" si="15"/>
        <v>Old Aged</v>
      </c>
      <c r="N969" t="s">
        <v>18</v>
      </c>
    </row>
    <row r="970" spans="1:14" x14ac:dyDescent="0.3">
      <c r="A970">
        <v>18329</v>
      </c>
      <c r="B970" t="s">
        <v>37</v>
      </c>
      <c r="C970" t="s">
        <v>39</v>
      </c>
      <c r="D970" s="6">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6">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38</v>
      </c>
      <c r="D972" s="6">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6">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38</v>
      </c>
      <c r="D974" s="6">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39</v>
      </c>
      <c r="D975" s="6">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39</v>
      </c>
      <c r="D976" s="6">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39</v>
      </c>
      <c r="D977" s="6">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38</v>
      </c>
      <c r="D978" s="6">
        <v>60000</v>
      </c>
      <c r="E978">
        <v>3</v>
      </c>
      <c r="F978" t="s">
        <v>13</v>
      </c>
      <c r="G978" t="s">
        <v>28</v>
      </c>
      <c r="H978" t="s">
        <v>15</v>
      </c>
      <c r="I978">
        <v>2</v>
      </c>
      <c r="J978" t="s">
        <v>46</v>
      </c>
      <c r="K978" t="s">
        <v>32</v>
      </c>
      <c r="L978">
        <v>66</v>
      </c>
      <c r="M978" t="str">
        <f t="shared" si="15"/>
        <v>Old Aged</v>
      </c>
      <c r="N978" t="s">
        <v>18</v>
      </c>
    </row>
    <row r="979" spans="1:14" x14ac:dyDescent="0.3">
      <c r="A979">
        <v>19741</v>
      </c>
      <c r="B979" t="s">
        <v>37</v>
      </c>
      <c r="C979" t="s">
        <v>38</v>
      </c>
      <c r="D979" s="6">
        <v>80000</v>
      </c>
      <c r="E979">
        <v>4</v>
      </c>
      <c r="F979" t="s">
        <v>31</v>
      </c>
      <c r="G979" t="s">
        <v>28</v>
      </c>
      <c r="H979" t="s">
        <v>15</v>
      </c>
      <c r="I979">
        <v>2</v>
      </c>
      <c r="J979" t="s">
        <v>23</v>
      </c>
      <c r="K979" t="s">
        <v>32</v>
      </c>
      <c r="L979">
        <v>65</v>
      </c>
      <c r="M979" t="str">
        <f t="shared" si="15"/>
        <v>Old Aged</v>
      </c>
      <c r="N979" t="s">
        <v>18</v>
      </c>
    </row>
    <row r="980" spans="1:14" x14ac:dyDescent="0.3">
      <c r="A980">
        <v>17450</v>
      </c>
      <c r="B980" t="s">
        <v>36</v>
      </c>
      <c r="C980" t="s">
        <v>39</v>
      </c>
      <c r="D980" s="6">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39</v>
      </c>
      <c r="D981" s="6">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6">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39</v>
      </c>
      <c r="D983" s="6">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39</v>
      </c>
      <c r="D984" s="6">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39</v>
      </c>
      <c r="D985" s="6">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39</v>
      </c>
      <c r="D986" s="6">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6">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39</v>
      </c>
      <c r="D988" s="6">
        <v>40000</v>
      </c>
      <c r="E988">
        <v>5</v>
      </c>
      <c r="F988" t="s">
        <v>27</v>
      </c>
      <c r="G988" t="s">
        <v>21</v>
      </c>
      <c r="H988" t="s">
        <v>15</v>
      </c>
      <c r="I988">
        <v>4</v>
      </c>
      <c r="J988" t="s">
        <v>46</v>
      </c>
      <c r="K988" t="s">
        <v>32</v>
      </c>
      <c r="L988">
        <v>60</v>
      </c>
      <c r="M988" t="str">
        <f t="shared" si="15"/>
        <v>Old Aged</v>
      </c>
      <c r="N988" t="s">
        <v>15</v>
      </c>
    </row>
    <row r="989" spans="1:14" x14ac:dyDescent="0.3">
      <c r="A989">
        <v>28972</v>
      </c>
      <c r="B989" t="s">
        <v>37</v>
      </c>
      <c r="C989" t="s">
        <v>38</v>
      </c>
      <c r="D989" s="6">
        <v>60000</v>
      </c>
      <c r="E989">
        <v>3</v>
      </c>
      <c r="F989" t="s">
        <v>31</v>
      </c>
      <c r="G989" t="s">
        <v>28</v>
      </c>
      <c r="H989" t="s">
        <v>15</v>
      </c>
      <c r="I989">
        <v>2</v>
      </c>
      <c r="J989" t="s">
        <v>46</v>
      </c>
      <c r="K989" t="s">
        <v>32</v>
      </c>
      <c r="L989">
        <v>66</v>
      </c>
      <c r="M989" t="str">
        <f t="shared" si="15"/>
        <v>Old Aged</v>
      </c>
      <c r="N989" t="s">
        <v>18</v>
      </c>
    </row>
    <row r="990" spans="1:14" x14ac:dyDescent="0.3">
      <c r="A990">
        <v>22730</v>
      </c>
      <c r="B990" t="s">
        <v>36</v>
      </c>
      <c r="C990" t="s">
        <v>39</v>
      </c>
      <c r="D990" s="6">
        <v>70000</v>
      </c>
      <c r="E990">
        <v>5</v>
      </c>
      <c r="F990" t="s">
        <v>13</v>
      </c>
      <c r="G990" t="s">
        <v>28</v>
      </c>
      <c r="H990" t="s">
        <v>15</v>
      </c>
      <c r="I990">
        <v>2</v>
      </c>
      <c r="J990" t="s">
        <v>46</v>
      </c>
      <c r="K990" t="s">
        <v>32</v>
      </c>
      <c r="L990">
        <v>63</v>
      </c>
      <c r="M990" t="str">
        <f t="shared" si="15"/>
        <v>Old Aged</v>
      </c>
      <c r="N990" t="s">
        <v>18</v>
      </c>
    </row>
    <row r="991" spans="1:14" x14ac:dyDescent="0.3">
      <c r="A991">
        <v>29134</v>
      </c>
      <c r="B991" t="s">
        <v>36</v>
      </c>
      <c r="C991" t="s">
        <v>39</v>
      </c>
      <c r="D991" s="6">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38</v>
      </c>
      <c r="D992" s="6">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6">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39</v>
      </c>
      <c r="D994" s="6">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39</v>
      </c>
      <c r="D995" s="6">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39</v>
      </c>
      <c r="D996" s="6">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39</v>
      </c>
      <c r="D997" s="6">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39</v>
      </c>
      <c r="D998" s="6">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39</v>
      </c>
      <c r="D999" s="6">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39</v>
      </c>
      <c r="D1000" s="6">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39</v>
      </c>
      <c r="D1001" s="6">
        <v>60000</v>
      </c>
      <c r="E1001">
        <v>3</v>
      </c>
      <c r="F1001" t="s">
        <v>27</v>
      </c>
      <c r="G1001" t="s">
        <v>21</v>
      </c>
      <c r="H1001" t="s">
        <v>15</v>
      </c>
      <c r="I1001">
        <v>2</v>
      </c>
      <c r="J1001" t="s">
        <v>46</v>
      </c>
      <c r="K1001" t="s">
        <v>32</v>
      </c>
      <c r="L1001">
        <v>53</v>
      </c>
      <c r="M1001" t="str">
        <f t="shared" si="15"/>
        <v>Middle Aged</v>
      </c>
      <c r="N1001" t="s">
        <v>15</v>
      </c>
    </row>
  </sheetData>
  <autoFilter ref="A1:N1001" xr:uid="{43496F33-D1BB-4B8B-B06B-D5EA810CDA7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4D31-8C3D-436D-9AFC-4F14244D24C2}">
  <dimension ref="B5:E119"/>
  <sheetViews>
    <sheetView topLeftCell="A25" zoomScale="72" zoomScaleNormal="74" workbookViewId="0">
      <selection activeCell="D38" sqref="D38"/>
    </sheetView>
  </sheetViews>
  <sheetFormatPr defaultRowHeight="14.4" x14ac:dyDescent="0.3"/>
  <cols>
    <col min="1" max="1" width="13.88671875" bestFit="1" customWidth="1"/>
    <col min="2" max="2" width="21.88671875" bestFit="1" customWidth="1"/>
    <col min="3" max="3" width="16.33203125" bestFit="1" customWidth="1"/>
    <col min="4" max="4" width="4.33203125" bestFit="1" customWidth="1"/>
    <col min="5" max="6" width="10.77734375" bestFit="1" customWidth="1"/>
    <col min="7" max="54" width="15.5546875" bestFit="1" customWidth="1"/>
    <col min="55" max="55" width="10.77734375" bestFit="1" customWidth="1"/>
  </cols>
  <sheetData>
    <row r="5" spans="2:5" x14ac:dyDescent="0.3">
      <c r="B5" s="4" t="s">
        <v>44</v>
      </c>
      <c r="C5" s="4" t="s">
        <v>43</v>
      </c>
    </row>
    <row r="6" spans="2:5" x14ac:dyDescent="0.3">
      <c r="B6" s="4" t="s">
        <v>41</v>
      </c>
      <c r="C6" t="s">
        <v>18</v>
      </c>
      <c r="D6" t="s">
        <v>15</v>
      </c>
      <c r="E6" t="s">
        <v>42</v>
      </c>
    </row>
    <row r="7" spans="2:5" x14ac:dyDescent="0.3">
      <c r="B7" s="5" t="s">
        <v>38</v>
      </c>
      <c r="C7" s="3">
        <v>53440</v>
      </c>
      <c r="D7" s="3">
        <v>55774.058577405856</v>
      </c>
      <c r="E7" s="3">
        <v>54580.777096114522</v>
      </c>
    </row>
    <row r="8" spans="2:5" x14ac:dyDescent="0.3">
      <c r="B8" s="5" t="s">
        <v>39</v>
      </c>
      <c r="C8" s="3">
        <v>56208.178438661707</v>
      </c>
      <c r="D8" s="3">
        <v>60123.966942148763</v>
      </c>
      <c r="E8" s="3">
        <v>58062.62230919765</v>
      </c>
    </row>
    <row r="9" spans="2:5" x14ac:dyDescent="0.3">
      <c r="B9" s="5" t="s">
        <v>42</v>
      </c>
      <c r="C9" s="3">
        <v>54874.759152215796</v>
      </c>
      <c r="D9" s="3">
        <v>57962.577962577961</v>
      </c>
      <c r="E9" s="3">
        <v>56360</v>
      </c>
    </row>
    <row r="20" spans="2:5" x14ac:dyDescent="0.3">
      <c r="B20" s="4" t="s">
        <v>45</v>
      </c>
      <c r="C20" s="4" t="s">
        <v>43</v>
      </c>
    </row>
    <row r="21" spans="2:5" x14ac:dyDescent="0.3">
      <c r="B21" s="4" t="s">
        <v>41</v>
      </c>
      <c r="C21" t="s">
        <v>18</v>
      </c>
      <c r="D21" t="s">
        <v>15</v>
      </c>
      <c r="E21" t="s">
        <v>42</v>
      </c>
    </row>
    <row r="22" spans="2:5" x14ac:dyDescent="0.3">
      <c r="B22" s="5" t="s">
        <v>16</v>
      </c>
      <c r="C22" s="7">
        <v>166</v>
      </c>
      <c r="D22" s="7">
        <v>200</v>
      </c>
      <c r="E22" s="7">
        <v>366</v>
      </c>
    </row>
    <row r="23" spans="2:5" x14ac:dyDescent="0.3">
      <c r="B23" s="5" t="s">
        <v>26</v>
      </c>
      <c r="C23" s="7">
        <v>92</v>
      </c>
      <c r="D23" s="7">
        <v>77</v>
      </c>
      <c r="E23" s="7">
        <v>169</v>
      </c>
    </row>
    <row r="24" spans="2:5" x14ac:dyDescent="0.3">
      <c r="B24" s="5" t="s">
        <v>22</v>
      </c>
      <c r="C24" s="7">
        <v>67</v>
      </c>
      <c r="D24" s="7">
        <v>95</v>
      </c>
      <c r="E24" s="7">
        <v>162</v>
      </c>
    </row>
    <row r="25" spans="2:5" x14ac:dyDescent="0.3">
      <c r="B25" s="5" t="s">
        <v>23</v>
      </c>
      <c r="C25" s="7">
        <v>116</v>
      </c>
      <c r="D25" s="7">
        <v>76</v>
      </c>
      <c r="E25" s="7">
        <v>192</v>
      </c>
    </row>
    <row r="26" spans="2:5" x14ac:dyDescent="0.3">
      <c r="B26" s="5" t="s">
        <v>46</v>
      </c>
      <c r="C26" s="7">
        <v>78</v>
      </c>
      <c r="D26" s="7">
        <v>33</v>
      </c>
      <c r="E26" s="7">
        <v>111</v>
      </c>
    </row>
    <row r="27" spans="2:5" x14ac:dyDescent="0.3">
      <c r="B27" s="5" t="s">
        <v>42</v>
      </c>
      <c r="C27" s="7">
        <v>519</v>
      </c>
      <c r="D27" s="7">
        <v>481</v>
      </c>
      <c r="E27" s="7">
        <v>1000</v>
      </c>
    </row>
    <row r="38" spans="2:5" x14ac:dyDescent="0.3">
      <c r="B38" s="4" t="s">
        <v>45</v>
      </c>
      <c r="C38" s="4" t="s">
        <v>43</v>
      </c>
    </row>
    <row r="39" spans="2:5" x14ac:dyDescent="0.3">
      <c r="B39" s="4" t="s">
        <v>41</v>
      </c>
      <c r="C39" t="s">
        <v>18</v>
      </c>
      <c r="D39" t="s">
        <v>15</v>
      </c>
      <c r="E39" t="s">
        <v>42</v>
      </c>
    </row>
    <row r="40" spans="2:5" x14ac:dyDescent="0.3">
      <c r="B40" s="5" t="s">
        <v>47</v>
      </c>
      <c r="C40" s="7">
        <v>71</v>
      </c>
      <c r="D40" s="7">
        <v>39</v>
      </c>
      <c r="E40" s="7">
        <v>110</v>
      </c>
    </row>
    <row r="41" spans="2:5" x14ac:dyDescent="0.3">
      <c r="B41" s="5" t="s">
        <v>48</v>
      </c>
      <c r="C41" s="7">
        <v>318</v>
      </c>
      <c r="D41" s="7">
        <v>383</v>
      </c>
      <c r="E41" s="7">
        <v>701</v>
      </c>
    </row>
    <row r="42" spans="2:5" x14ac:dyDescent="0.3">
      <c r="B42" s="5" t="s">
        <v>49</v>
      </c>
      <c r="C42" s="7">
        <v>130</v>
      </c>
      <c r="D42" s="7">
        <v>59</v>
      </c>
      <c r="E42" s="7">
        <v>189</v>
      </c>
    </row>
    <row r="43" spans="2:5" x14ac:dyDescent="0.3">
      <c r="B43" s="5" t="s">
        <v>42</v>
      </c>
      <c r="C43" s="7">
        <v>519</v>
      </c>
      <c r="D43" s="7">
        <v>481</v>
      </c>
      <c r="E43" s="7">
        <v>1000</v>
      </c>
    </row>
    <row r="64" spans="2:3" x14ac:dyDescent="0.3">
      <c r="B64" s="4" t="s">
        <v>45</v>
      </c>
      <c r="C64" s="4" t="s">
        <v>43</v>
      </c>
    </row>
    <row r="65" spans="2:5" x14ac:dyDescent="0.3">
      <c r="B65" s="4" t="s">
        <v>41</v>
      </c>
      <c r="C65" t="s">
        <v>18</v>
      </c>
      <c r="D65" t="s">
        <v>15</v>
      </c>
      <c r="E65" t="s">
        <v>42</v>
      </c>
    </row>
    <row r="66" spans="2:5" x14ac:dyDescent="0.3">
      <c r="B66" s="5">
        <v>25</v>
      </c>
      <c r="C66" s="7">
        <v>2</v>
      </c>
      <c r="D66" s="7">
        <v>4</v>
      </c>
      <c r="E66" s="7">
        <v>6</v>
      </c>
    </row>
    <row r="67" spans="2:5" x14ac:dyDescent="0.3">
      <c r="B67" s="5">
        <v>26</v>
      </c>
      <c r="C67" s="7">
        <v>8</v>
      </c>
      <c r="D67" s="7">
        <v>8</v>
      </c>
      <c r="E67" s="7">
        <v>16</v>
      </c>
    </row>
    <row r="68" spans="2:5" x14ac:dyDescent="0.3">
      <c r="B68" s="5">
        <v>27</v>
      </c>
      <c r="C68" s="7">
        <v>15</v>
      </c>
      <c r="D68" s="7">
        <v>8</v>
      </c>
      <c r="E68" s="7">
        <v>23</v>
      </c>
    </row>
    <row r="69" spans="2:5" x14ac:dyDescent="0.3">
      <c r="B69" s="5">
        <v>28</v>
      </c>
      <c r="C69" s="7">
        <v>12</v>
      </c>
      <c r="D69" s="7">
        <v>10</v>
      </c>
      <c r="E69" s="7">
        <v>22</v>
      </c>
    </row>
    <row r="70" spans="2:5" x14ac:dyDescent="0.3">
      <c r="B70" s="5">
        <v>29</v>
      </c>
      <c r="C70" s="7">
        <v>11</v>
      </c>
      <c r="D70" s="7">
        <v>5</v>
      </c>
      <c r="E70" s="7">
        <v>16</v>
      </c>
    </row>
    <row r="71" spans="2:5" x14ac:dyDescent="0.3">
      <c r="B71" s="5">
        <v>30</v>
      </c>
      <c r="C71" s="7">
        <v>23</v>
      </c>
      <c r="D71" s="7">
        <v>4</v>
      </c>
      <c r="E71" s="7">
        <v>27</v>
      </c>
    </row>
    <row r="72" spans="2:5" x14ac:dyDescent="0.3">
      <c r="B72" s="5">
        <v>31</v>
      </c>
      <c r="C72" s="7">
        <v>17</v>
      </c>
      <c r="D72" s="7">
        <v>8</v>
      </c>
      <c r="E72" s="7">
        <v>25</v>
      </c>
    </row>
    <row r="73" spans="2:5" x14ac:dyDescent="0.3">
      <c r="B73" s="5">
        <v>32</v>
      </c>
      <c r="C73" s="7">
        <v>19</v>
      </c>
      <c r="D73" s="7">
        <v>14</v>
      </c>
      <c r="E73" s="7">
        <v>33</v>
      </c>
    </row>
    <row r="74" spans="2:5" x14ac:dyDescent="0.3">
      <c r="B74" s="5">
        <v>33</v>
      </c>
      <c r="C74" s="7">
        <v>8</v>
      </c>
      <c r="D74" s="7">
        <v>13</v>
      </c>
      <c r="E74" s="7">
        <v>21</v>
      </c>
    </row>
    <row r="75" spans="2:5" x14ac:dyDescent="0.3">
      <c r="B75" s="5">
        <v>34</v>
      </c>
      <c r="C75" s="7">
        <v>12</v>
      </c>
      <c r="D75" s="7">
        <v>19</v>
      </c>
      <c r="E75" s="7">
        <v>31</v>
      </c>
    </row>
    <row r="76" spans="2:5" x14ac:dyDescent="0.3">
      <c r="B76" s="5">
        <v>35</v>
      </c>
      <c r="C76" s="7">
        <v>14</v>
      </c>
      <c r="D76" s="7">
        <v>22</v>
      </c>
      <c r="E76" s="7">
        <v>36</v>
      </c>
    </row>
    <row r="77" spans="2:5" x14ac:dyDescent="0.3">
      <c r="B77" s="5">
        <v>36</v>
      </c>
      <c r="C77" s="7">
        <v>7</v>
      </c>
      <c r="D77" s="7">
        <v>30</v>
      </c>
      <c r="E77" s="7">
        <v>37</v>
      </c>
    </row>
    <row r="78" spans="2:5" x14ac:dyDescent="0.3">
      <c r="B78" s="5">
        <v>37</v>
      </c>
      <c r="C78" s="7">
        <v>4</v>
      </c>
      <c r="D78" s="7">
        <v>28</v>
      </c>
      <c r="E78" s="7">
        <v>32</v>
      </c>
    </row>
    <row r="79" spans="2:5" x14ac:dyDescent="0.3">
      <c r="B79" s="5">
        <v>38</v>
      </c>
      <c r="C79" s="7">
        <v>8</v>
      </c>
      <c r="D79" s="7">
        <v>29</v>
      </c>
      <c r="E79" s="7">
        <v>37</v>
      </c>
    </row>
    <row r="80" spans="2:5" x14ac:dyDescent="0.3">
      <c r="B80" s="5">
        <v>39</v>
      </c>
      <c r="C80" s="7">
        <v>10</v>
      </c>
      <c r="D80" s="7">
        <v>12</v>
      </c>
      <c r="E80" s="7">
        <v>22</v>
      </c>
    </row>
    <row r="81" spans="2:5" x14ac:dyDescent="0.3">
      <c r="B81" s="5">
        <v>40</v>
      </c>
      <c r="C81" s="7">
        <v>24</v>
      </c>
      <c r="D81" s="7">
        <v>18</v>
      </c>
      <c r="E81" s="7">
        <v>42</v>
      </c>
    </row>
    <row r="82" spans="2:5" x14ac:dyDescent="0.3">
      <c r="B82" s="5">
        <v>41</v>
      </c>
      <c r="C82" s="7">
        <v>13</v>
      </c>
      <c r="D82" s="7">
        <v>15</v>
      </c>
      <c r="E82" s="7">
        <v>28</v>
      </c>
    </row>
    <row r="83" spans="2:5" x14ac:dyDescent="0.3">
      <c r="B83" s="5">
        <v>42</v>
      </c>
      <c r="C83" s="7">
        <v>22</v>
      </c>
      <c r="D83" s="7">
        <v>12</v>
      </c>
      <c r="E83" s="7">
        <v>34</v>
      </c>
    </row>
    <row r="84" spans="2:5" x14ac:dyDescent="0.3">
      <c r="B84" s="5">
        <v>43</v>
      </c>
      <c r="C84" s="7">
        <v>17</v>
      </c>
      <c r="D84" s="7">
        <v>19</v>
      </c>
      <c r="E84" s="7">
        <v>36</v>
      </c>
    </row>
    <row r="85" spans="2:5" x14ac:dyDescent="0.3">
      <c r="B85" s="5">
        <v>44</v>
      </c>
      <c r="C85" s="7">
        <v>15</v>
      </c>
      <c r="D85" s="7">
        <v>12</v>
      </c>
      <c r="E85" s="7">
        <v>27</v>
      </c>
    </row>
    <row r="86" spans="2:5" x14ac:dyDescent="0.3">
      <c r="B86" s="5">
        <v>45</v>
      </c>
      <c r="C86" s="7">
        <v>18</v>
      </c>
      <c r="D86" s="7">
        <v>13</v>
      </c>
      <c r="E86" s="7">
        <v>31</v>
      </c>
    </row>
    <row r="87" spans="2:5" x14ac:dyDescent="0.3">
      <c r="B87" s="5">
        <v>46</v>
      </c>
      <c r="C87" s="7">
        <v>12</v>
      </c>
      <c r="D87" s="7">
        <v>15</v>
      </c>
      <c r="E87" s="7">
        <v>27</v>
      </c>
    </row>
    <row r="88" spans="2:5" x14ac:dyDescent="0.3">
      <c r="B88" s="5">
        <v>47</v>
      </c>
      <c r="C88" s="7">
        <v>19</v>
      </c>
      <c r="D88" s="7">
        <v>20</v>
      </c>
      <c r="E88" s="7">
        <v>39</v>
      </c>
    </row>
    <row r="89" spans="2:5" x14ac:dyDescent="0.3">
      <c r="B89" s="5">
        <v>48</v>
      </c>
      <c r="C89" s="7">
        <v>16</v>
      </c>
      <c r="D89" s="7">
        <v>13</v>
      </c>
      <c r="E89" s="7">
        <v>29</v>
      </c>
    </row>
    <row r="90" spans="2:5" x14ac:dyDescent="0.3">
      <c r="B90" s="5">
        <v>49</v>
      </c>
      <c r="C90" s="7">
        <v>15</v>
      </c>
      <c r="D90" s="7">
        <v>8</v>
      </c>
      <c r="E90" s="7">
        <v>23</v>
      </c>
    </row>
    <row r="91" spans="2:5" x14ac:dyDescent="0.3">
      <c r="B91" s="5">
        <v>50</v>
      </c>
      <c r="C91" s="7">
        <v>12</v>
      </c>
      <c r="D91" s="7">
        <v>12</v>
      </c>
      <c r="E91" s="7">
        <v>24</v>
      </c>
    </row>
    <row r="92" spans="2:5" x14ac:dyDescent="0.3">
      <c r="B92" s="5">
        <v>51</v>
      </c>
      <c r="C92" s="7">
        <v>10</v>
      </c>
      <c r="D92" s="7">
        <v>12</v>
      </c>
      <c r="E92" s="7">
        <v>22</v>
      </c>
    </row>
    <row r="93" spans="2:5" x14ac:dyDescent="0.3">
      <c r="B93" s="5">
        <v>52</v>
      </c>
      <c r="C93" s="7">
        <v>10</v>
      </c>
      <c r="D93" s="7">
        <v>15</v>
      </c>
      <c r="E93" s="7">
        <v>25</v>
      </c>
    </row>
    <row r="94" spans="2:5" x14ac:dyDescent="0.3">
      <c r="B94" s="5">
        <v>53</v>
      </c>
      <c r="C94" s="7">
        <v>11</v>
      </c>
      <c r="D94" s="7">
        <v>13</v>
      </c>
      <c r="E94" s="7">
        <v>24</v>
      </c>
    </row>
    <row r="95" spans="2:5" x14ac:dyDescent="0.3">
      <c r="B95" s="5">
        <v>54</v>
      </c>
      <c r="C95" s="7">
        <v>5</v>
      </c>
      <c r="D95" s="7">
        <v>11</v>
      </c>
      <c r="E95" s="7">
        <v>16</v>
      </c>
    </row>
    <row r="96" spans="2:5" x14ac:dyDescent="0.3">
      <c r="B96" s="5">
        <v>55</v>
      </c>
      <c r="C96" s="7">
        <v>13</v>
      </c>
      <c r="D96" s="7">
        <v>5</v>
      </c>
      <c r="E96" s="7">
        <v>18</v>
      </c>
    </row>
    <row r="97" spans="2:5" x14ac:dyDescent="0.3">
      <c r="B97" s="5">
        <v>56</v>
      </c>
      <c r="C97" s="7">
        <v>13</v>
      </c>
      <c r="D97" s="7">
        <v>3</v>
      </c>
      <c r="E97" s="7">
        <v>16</v>
      </c>
    </row>
    <row r="98" spans="2:5" x14ac:dyDescent="0.3">
      <c r="B98" s="5">
        <v>57</v>
      </c>
      <c r="C98" s="7">
        <v>4</v>
      </c>
      <c r="D98" s="7">
        <v>4</v>
      </c>
      <c r="E98" s="7">
        <v>8</v>
      </c>
    </row>
    <row r="99" spans="2:5" x14ac:dyDescent="0.3">
      <c r="B99" s="5">
        <v>58</v>
      </c>
      <c r="C99" s="7">
        <v>8</v>
      </c>
      <c r="D99" s="7">
        <v>4</v>
      </c>
      <c r="E99" s="7">
        <v>12</v>
      </c>
    </row>
    <row r="100" spans="2:5" x14ac:dyDescent="0.3">
      <c r="B100" s="5">
        <v>59</v>
      </c>
      <c r="C100" s="7">
        <v>14</v>
      </c>
      <c r="D100" s="7">
        <v>6</v>
      </c>
      <c r="E100" s="7">
        <v>20</v>
      </c>
    </row>
    <row r="101" spans="2:5" x14ac:dyDescent="0.3">
      <c r="B101" s="5">
        <v>60</v>
      </c>
      <c r="C101" s="7">
        <v>8</v>
      </c>
      <c r="D101" s="7">
        <v>7</v>
      </c>
      <c r="E101" s="7">
        <v>15</v>
      </c>
    </row>
    <row r="102" spans="2:5" x14ac:dyDescent="0.3">
      <c r="B102" s="5">
        <v>61</v>
      </c>
      <c r="C102" s="7">
        <v>5</v>
      </c>
      <c r="D102" s="7">
        <v>4</v>
      </c>
      <c r="E102" s="7">
        <v>9</v>
      </c>
    </row>
    <row r="103" spans="2:5" x14ac:dyDescent="0.3">
      <c r="B103" s="5">
        <v>62</v>
      </c>
      <c r="C103" s="7">
        <v>9</v>
      </c>
      <c r="D103" s="7">
        <v>4</v>
      </c>
      <c r="E103" s="7">
        <v>13</v>
      </c>
    </row>
    <row r="104" spans="2:5" x14ac:dyDescent="0.3">
      <c r="B104" s="5">
        <v>63</v>
      </c>
      <c r="C104" s="7">
        <v>7</v>
      </c>
      <c r="D104" s="7">
        <v>2</v>
      </c>
      <c r="E104" s="7">
        <v>9</v>
      </c>
    </row>
    <row r="105" spans="2:5" x14ac:dyDescent="0.3">
      <c r="B105" s="5">
        <v>64</v>
      </c>
      <c r="C105" s="7">
        <v>7</v>
      </c>
      <c r="D105" s="7">
        <v>3</v>
      </c>
      <c r="E105" s="7">
        <v>10</v>
      </c>
    </row>
    <row r="106" spans="2:5" x14ac:dyDescent="0.3">
      <c r="B106" s="5">
        <v>65</v>
      </c>
      <c r="C106" s="7">
        <v>6</v>
      </c>
      <c r="D106" s="7">
        <v>3</v>
      </c>
      <c r="E106" s="7">
        <v>9</v>
      </c>
    </row>
    <row r="107" spans="2:5" x14ac:dyDescent="0.3">
      <c r="B107" s="5">
        <v>66</v>
      </c>
      <c r="C107" s="7">
        <v>8</v>
      </c>
      <c r="D107" s="7">
        <v>6</v>
      </c>
      <c r="E107" s="7">
        <v>14</v>
      </c>
    </row>
    <row r="108" spans="2:5" x14ac:dyDescent="0.3">
      <c r="B108" s="5">
        <v>67</v>
      </c>
      <c r="C108" s="7">
        <v>8</v>
      </c>
      <c r="D108" s="7">
        <v>2</v>
      </c>
      <c r="E108" s="7">
        <v>10</v>
      </c>
    </row>
    <row r="109" spans="2:5" x14ac:dyDescent="0.3">
      <c r="B109" s="5">
        <v>68</v>
      </c>
      <c r="C109" s="7">
        <v>3</v>
      </c>
      <c r="D109" s="7"/>
      <c r="E109" s="7">
        <v>3</v>
      </c>
    </row>
    <row r="110" spans="2:5" x14ac:dyDescent="0.3">
      <c r="B110" s="5">
        <v>69</v>
      </c>
      <c r="C110" s="7">
        <v>8</v>
      </c>
      <c r="D110" s="7"/>
      <c r="E110" s="7">
        <v>8</v>
      </c>
    </row>
    <row r="111" spans="2:5" x14ac:dyDescent="0.3">
      <c r="B111" s="5">
        <v>70</v>
      </c>
      <c r="C111" s="7">
        <v>3</v>
      </c>
      <c r="D111" s="7">
        <v>1</v>
      </c>
      <c r="E111" s="7">
        <v>4</v>
      </c>
    </row>
    <row r="112" spans="2:5" x14ac:dyDescent="0.3">
      <c r="B112" s="5">
        <v>71</v>
      </c>
      <c r="C112" s="7">
        <v>1</v>
      </c>
      <c r="D112" s="7"/>
      <c r="E112" s="7">
        <v>1</v>
      </c>
    </row>
    <row r="113" spans="2:5" x14ac:dyDescent="0.3">
      <c r="B113" s="5">
        <v>72</v>
      </c>
      <c r="C113" s="7"/>
      <c r="D113" s="7">
        <v>1</v>
      </c>
      <c r="E113" s="7">
        <v>1</v>
      </c>
    </row>
    <row r="114" spans="2:5" x14ac:dyDescent="0.3">
      <c r="B114" s="5">
        <v>73</v>
      </c>
      <c r="C114" s="7">
        <v>2</v>
      </c>
      <c r="D114" s="7">
        <v>2</v>
      </c>
      <c r="E114" s="7">
        <v>4</v>
      </c>
    </row>
    <row r="115" spans="2:5" x14ac:dyDescent="0.3">
      <c r="B115" s="5">
        <v>74</v>
      </c>
      <c r="C115" s="7"/>
      <c r="D115" s="7">
        <v>1</v>
      </c>
      <c r="E115" s="7">
        <v>1</v>
      </c>
    </row>
    <row r="116" spans="2:5" x14ac:dyDescent="0.3">
      <c r="B116" s="5">
        <v>78</v>
      </c>
      <c r="C116" s="7">
        <v>1</v>
      </c>
      <c r="D116" s="7">
        <v>1</v>
      </c>
      <c r="E116" s="7">
        <v>2</v>
      </c>
    </row>
    <row r="117" spans="2:5" x14ac:dyDescent="0.3">
      <c r="B117" s="5">
        <v>80</v>
      </c>
      <c r="C117" s="7">
        <v>1</v>
      </c>
      <c r="D117" s="7"/>
      <c r="E117" s="7">
        <v>1</v>
      </c>
    </row>
    <row r="118" spans="2:5" x14ac:dyDescent="0.3">
      <c r="B118" s="5">
        <v>89</v>
      </c>
      <c r="C118" s="7">
        <v>1</v>
      </c>
      <c r="D118" s="7"/>
      <c r="E118" s="7">
        <v>1</v>
      </c>
    </row>
    <row r="119" spans="2:5" x14ac:dyDescent="0.3">
      <c r="B119" s="5" t="s">
        <v>42</v>
      </c>
      <c r="C119" s="7">
        <v>519</v>
      </c>
      <c r="D119" s="7">
        <v>481</v>
      </c>
      <c r="E119" s="7">
        <v>1000</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1E0F-56C6-495D-BE58-4924D3D57406}">
  <dimension ref="A1:R7"/>
  <sheetViews>
    <sheetView showGridLines="0" tabSelected="1" zoomScale="70" zoomScaleNormal="70" workbookViewId="0">
      <selection activeCell="AA7" sqref="AA7"/>
    </sheetView>
  </sheetViews>
  <sheetFormatPr defaultRowHeight="14.4" x14ac:dyDescent="0.3"/>
  <sheetData>
    <row r="1" spans="1:18" ht="14.4" customHeight="1" x14ac:dyDescent="0.3">
      <c r="A1" s="8" t="s">
        <v>50</v>
      </c>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row r="4" spans="1:18" x14ac:dyDescent="0.3">
      <c r="A4" s="8"/>
      <c r="B4" s="8"/>
      <c r="C4" s="8"/>
      <c r="D4" s="8"/>
      <c r="E4" s="8"/>
      <c r="F4" s="8"/>
      <c r="G4" s="8"/>
      <c r="H4" s="8"/>
      <c r="I4" s="8"/>
      <c r="J4" s="8"/>
      <c r="K4" s="8"/>
      <c r="L4" s="8"/>
      <c r="M4" s="8"/>
      <c r="N4" s="8"/>
      <c r="O4" s="8"/>
      <c r="P4" s="8"/>
      <c r="Q4" s="8"/>
      <c r="R4" s="8"/>
    </row>
    <row r="5" spans="1:18" x14ac:dyDescent="0.3">
      <c r="A5" s="8"/>
      <c r="B5" s="8"/>
      <c r="C5" s="8"/>
      <c r="D5" s="8"/>
      <c r="E5" s="8"/>
      <c r="F5" s="8"/>
      <c r="G5" s="8"/>
      <c r="H5" s="8"/>
      <c r="I5" s="8"/>
      <c r="J5" s="8"/>
      <c r="K5" s="8"/>
      <c r="L5" s="8"/>
      <c r="M5" s="8"/>
      <c r="N5" s="8"/>
      <c r="O5" s="8"/>
      <c r="P5" s="8"/>
      <c r="Q5" s="8"/>
      <c r="R5" s="8"/>
    </row>
    <row r="6" spans="1:18" x14ac:dyDescent="0.3">
      <c r="A6" s="8"/>
      <c r="B6" s="8"/>
      <c r="C6" s="8"/>
      <c r="D6" s="8"/>
      <c r="E6" s="8"/>
      <c r="F6" s="8"/>
      <c r="G6" s="8"/>
      <c r="H6" s="8"/>
      <c r="I6" s="8"/>
      <c r="J6" s="8"/>
      <c r="K6" s="8"/>
      <c r="L6" s="8"/>
      <c r="M6" s="8"/>
      <c r="N6" s="8"/>
      <c r="O6" s="8"/>
      <c r="P6" s="8"/>
      <c r="Q6" s="8"/>
      <c r="R6" s="8"/>
    </row>
    <row r="7" spans="1:18" x14ac:dyDescent="0.3">
      <c r="A7" s="8"/>
      <c r="B7" s="8"/>
      <c r="C7" s="8"/>
      <c r="D7" s="8"/>
      <c r="E7" s="8"/>
      <c r="F7" s="8"/>
      <c r="G7" s="8"/>
      <c r="H7" s="8"/>
      <c r="I7" s="8"/>
      <c r="J7" s="8"/>
      <c r="K7" s="8"/>
      <c r="L7" s="8"/>
      <c r="M7" s="8"/>
      <c r="N7" s="8"/>
      <c r="O7" s="8"/>
      <c r="P7" s="8"/>
      <c r="Q7" s="8"/>
      <c r="R7" s="8"/>
    </row>
  </sheetData>
  <mergeCells count="1">
    <mergeCell ref="A1:R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TEKRAJAWASTHI</dc:creator>
  <cp:lastModifiedBy>DRE Am</cp:lastModifiedBy>
  <dcterms:created xsi:type="dcterms:W3CDTF">2022-03-18T02:50:57Z</dcterms:created>
  <dcterms:modified xsi:type="dcterms:W3CDTF">2026-05-24T03:13:43Z</dcterms:modified>
</cp:coreProperties>
</file>